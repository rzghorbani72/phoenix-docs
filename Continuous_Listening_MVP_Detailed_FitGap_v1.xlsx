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r/Downloads/"/>
    </mc:Choice>
  </mc:AlternateContent>
  <xr:revisionPtr revIDLastSave="0" documentId="13_ncr:1_{38099ED9-BA41-2844-80FD-ED842D5EE37B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راهنما و تصمیمات" sheetId="1" r:id="rId1"/>
    <sheet name="Fit-Gap MVP" sheetId="2" r:id="rId2"/>
    <sheet name="Backlog بعدی" sheetId="3" r:id="rId3"/>
    <sheet name="List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</calcChain>
</file>

<file path=xl/sharedStrings.xml><?xml version="1.0" encoding="utf-8"?>
<sst xmlns="http://schemas.openxmlformats.org/spreadsheetml/2006/main" count="640" uniqueCount="472">
  <si>
    <t>Continuous Listening MVP – Fit-Gap Requirements</t>
  </si>
  <si>
    <t>تصمیمات تثبیت‌شده تیم تجربه کارکنان برای MVP</t>
  </si>
  <si>
    <t>موضوع</t>
  </si>
  <si>
    <t>تصمیم تثبیت‌شده</t>
  </si>
  <si>
    <t>دلیل / توضیح</t>
  </si>
  <si>
    <t>هسته MVP</t>
  </si>
  <si>
    <t>Continuous Listening با محوریت Voice + Knowledge Base محدود</t>
  </si>
  <si>
    <t>هدف اصلی، شنیدن مستمر و تحلیل صدای کارکنان است؛ Knowledge Base فقط برای افزایش Utility پایلوت و جلوگیری از تبدیل کانال به پیغام‌گیر صرف استفاده می‌شود.</t>
  </si>
  <si>
    <t>دامنه پایلوت</t>
  </si>
  <si>
    <t>اعضای اداره خودمان با سناریوهای کنترل‌شده و استفاده طبیعی تماس می‌گیرند؛ بعد از اثبات قابلیت، دامنه گسترش می‌یابد.</t>
  </si>
  <si>
    <t>جامعه مجاز</t>
  </si>
  <si>
    <t>فقط همکاران با قرارداد MCI و شماره‌های داخل Whitelist</t>
  </si>
  <si>
    <t>در مرحله اول فقط شماره‌هایی که اطلاعات معتبرشان در دسترس است امکان تماس دارند.</t>
  </si>
  <si>
    <t>Mapping سازمانی</t>
  </si>
  <si>
    <t>شماره تماس برای اتصال به اطلاعات سازمانی استفاده می‌شود</t>
  </si>
  <si>
    <t>شماره به‌عنوان کلید Mapping استفاده می‌شود ولی در View تحلیلی نمایش داده نمی‌شود.</t>
  </si>
  <si>
    <t>نمایش هویت</t>
  </si>
  <si>
    <t>Hidden by Default؛ فقط مدیر سامانه در صورت ضرورت امکان مشاهده دارد</t>
  </si>
  <si>
    <t>هویت در حالت عادی حتی برای مدیر سامانه نیز در معرض دید نیست و فقط در مسیر مشخص قابل بازیابی است.</t>
  </si>
  <si>
    <t>Raw Call</t>
  </si>
  <si>
    <t>فقط مدیر سامانه</t>
  </si>
  <si>
    <t>هیچ مدیر یا ذی‌نفع عادی به فایل صوتی خام دسترسی ندارد.</t>
  </si>
  <si>
    <t>خروجی برای مدیران</t>
  </si>
  <si>
    <t>Aggregate Only</t>
  </si>
  <si>
    <t>در MVP لاگین/دسترسی تفکیک‌شده مدیریتی نداریم؛ خروجی تجمیعی از View کامل EX ارائه می‌شود.</t>
  </si>
  <si>
    <t>Knowledge Base</t>
  </si>
  <si>
    <t>فقط محتوای اداره خودمان</t>
  </si>
  <si>
    <t>به دلیل نبود Multi-owner Access در محصول فعلی، در پایلوت فقط تیم خودمان Knowledge را آماده و مدیریت می‌کند.</t>
  </si>
  <si>
    <t>Dashboard</t>
  </si>
  <si>
    <t>یک Full View برای تعداد محدودی از کاربران EX / مدیر سامانه</t>
  </si>
  <si>
    <t>Scoped Access مدیران بعد از تأیید پایلوت و در صورت ارزش توسعه بررسی می‌شود.</t>
  </si>
  <si>
    <t>Text / Chat</t>
  </si>
  <si>
    <t>اولویت دوم</t>
  </si>
  <si>
    <t>اگر زیرساخت آن با هزینه کم به‌صورت موازی آماده شود مطلوب است، ولی Launch MVP را عقب نمی‌اندازد.</t>
  </si>
  <si>
    <t>Surveyهای فعلی</t>
  </si>
  <si>
    <t>حفظ می‌شوند</t>
  </si>
  <si>
    <t>کانال جدید مکمل Employee Listening موجود است و فعلاً جایگزین Survey سالانه یا سایر ابزارها نیست.</t>
  </si>
  <si>
    <t>خلاصه وضعیت Fit-Gap (به‌روزرسانی خودکار پس از تکمیل فایل)</t>
  </si>
  <si>
    <t>شاخص</t>
  </si>
  <si>
    <t>مقدار</t>
  </si>
  <si>
    <t>روش استفاده در جلسه Fit-Gap</t>
  </si>
  <si>
    <t>کل نیازمندی‌ها</t>
  </si>
  <si>
    <t>۱) تیم EX ستون «اولویت EX» را تکمیل می‌کند.
۲) MCINEXT برای هر ردیف «وضعیت MCINEXT» را تعیین می‌کند.
۳) در ستون توضیحات فنی، محدودیت، Dependency، شیوه اجرا و برآورد موردنیاز نوشته می‌شود.
۴) در پایان همان جلسه، ددلاین هر موردی که داخل MVP می‌ماند ثبت می‌شود.
۵) اگر محصول Demo/Instance آماده باشد، Requirementها هم‌زمان با خود محصول تست شوند.</t>
  </si>
  <si>
    <t>P1 - ضروری برای MVP</t>
  </si>
  <si>
    <t>موجود در محصول</t>
  </si>
  <si>
    <t>نیازمند تنظیم</t>
  </si>
  <si>
    <t>نیازمند توسعه</t>
  </si>
  <si>
    <t>بلوک</t>
  </si>
  <si>
    <t>ID</t>
  </si>
  <si>
    <t>نیازمندی</t>
  </si>
  <si>
    <t>شرح نیاز / رفتار مورد انتظار</t>
  </si>
  <si>
    <t>سناریو یا معیار پذیرش</t>
  </si>
  <si>
    <t>اولویت EX</t>
  </si>
  <si>
    <t>وضعیت MCINEXT</t>
  </si>
  <si>
    <t>توضیحات فنی / وابستگی</t>
  </si>
  <si>
    <t>ددلاین اجرا</t>
  </si>
  <si>
    <t>1. Voice Intake &amp; Access</t>
  </si>
  <si>
    <t>VIA-01</t>
  </si>
  <si>
    <t>سرشماره / کانال صوتی Inbound</t>
  </si>
  <si>
    <t>یک کانال صوتی مشخص برای EX ایجاد شود تا کارکنان Whitelist‌شده بتوانند مستقیماً با AI تماس بگیرند. کانال باید مستقل از محیط عمومی Contact Center قابل استفاده و قابل ردیابی باشد.</t>
  </si>
  <si>
    <t>شماره پایلوت از یک شماره مجاز تماس می‌گیرد و بدون اپراتور انسانی وارد مکالمه AI می‌شود.</t>
  </si>
  <si>
    <t>VIA-02</t>
  </si>
  <si>
    <t>Whitelist کارکنان MCI</t>
  </si>
  <si>
    <t>فقط شماره‌های متعلق به کارکنان با قرارداد MCI که در دیتاست تأییدشده قرار دارند اجازه ورود به سرویس پایلوت را داشته باشند.</t>
  </si>
  <si>
    <t>تماس شماره داخل Whitelist وارد سرویس می‌شود؛ شماره خارج از Whitelist وارد Flow اصلی نمی‌شود.</t>
  </si>
  <si>
    <t>VIA-03</t>
  </si>
  <si>
    <t>رفتار برای شماره خارج از Whitelist</t>
  </si>
  <si>
    <t>برای شماره غیرمجاز رفتار شفاف و کنترل‌شده تعریف شود؛ مانند پیام کوتاه عدم دسترسی، بدون افشای اطلاعات داخلی یا ایجاد رکورد تحلیلی اشتباه.</t>
  </si>
  <si>
    <t>یک شماره غیرمجاز تست شود و پیام صحیح دریافت کند؛ تماس به‌عنوان Voice کارکنان ثبت نشود.</t>
  </si>
  <si>
    <t>VIA-04</t>
  </si>
  <si>
    <t>دریافت شماره تماس به‌عنوان کلید Mapping</t>
  </si>
  <si>
    <t>شماره تماس صرفاً برای شناسایی رکورد کارمند و اتصال Context سازمانی دریافت شود؛ شماره نباید به‌صورت پیش‌فرض در Dashboard تحلیلی دیده شود.</t>
  </si>
  <si>
    <t>شماره کارمند به رکورد صحیح Mapping می‌شود ولی در View تحلیلی نام/شماره نمایش داده نمی‌شود.</t>
  </si>
  <si>
    <t>VIA-05</t>
  </si>
  <si>
    <t>Mapping شماره به اطلاعات سازمانی</t>
  </si>
  <si>
    <t>سیستم بتواند از طریق دیتاست مورد تأیید، شماره را به اطلاعات لازم سازمانی مانند معاونت، اداره کل و اداره متصل کند.</t>
  </si>
  <si>
    <t>یک تماس آزمایشی در تحلیل با Segment سازمانی صحیح نمایش داده شود.</t>
  </si>
  <si>
    <t>VIA-06</t>
  </si>
  <si>
    <t>ثبت Metadata تماس</t>
  </si>
  <si>
    <t>برای هر تماس شناسه یکتا، تاریخ و ساعت، مدت تماس و وضعیت تکمیل/قطع تماس ثبت شود تا تحلیل و Audit ممکن باشد.</t>
  </si>
  <si>
    <t>هر تماس یک Conversation ID یکتا و Metadata کامل قابل مشاهده در Backend داشته باشد.</t>
  </si>
  <si>
    <t>VIA-07</t>
  </si>
  <si>
    <t>مدیریت تماس قطع‌شده یا ناقص</t>
  </si>
  <si>
    <t>اگر تماس قبل از پایان قطع شد، سیستم آن را Incomplete علامت بزند و فقط بخش واقعاً دریافت‌شده را ذخیره کند؛ AI نباید اطلاعات نگفته را تکمیل یا حدس بزند.</t>
  </si>
  <si>
    <t>تماس عمداً قطع شود؛ رکورد Incomplete ایجاد شود و Summary ساختگی تولید نشود.</t>
  </si>
  <si>
    <t>VIA-08</t>
  </si>
  <si>
    <t>پایداری و کیفیت سرویس صوتی</t>
  </si>
  <si>
    <t>کانال در محدوده ظرفیت Pilot باید کیفیت و پایداری کافی داشته باشد و خطاهای اتصال، قطع تماس یا Failure ثبت شوند.</t>
  </si>
  <si>
    <t>چند تماس متوالی و هم‌زمان Pilot بدون از دست‌رفتن رکورد اجرا شوند و Error Log در دسترس تیم فنی باشد.</t>
  </si>
  <si>
    <t>2. Conversation Experience</t>
  </si>
  <si>
    <t>CON-01</t>
  </si>
  <si>
    <t>معرفی کوتاه AI و هدف کانال</t>
  </si>
  <si>
    <t>در ابتدای تماس AI به‌صورت کوتاه و شفاف خود را معرفی کند و بگوید کانال برای شنیدن تجربه، مسئله، پیشنهاد و سؤال کارکنان است.</t>
  </si>
  <si>
    <t>Intro کوتاه، قابل فهم و بدون متن حقوقی طولانی اجرا شود.</t>
  </si>
  <si>
    <t>CON-02</t>
  </si>
  <si>
    <t>Privacy Notice کوتاه</t>
  </si>
  <si>
    <t>در ابتدای تعامل، نحوه کلی استفاده از مکالمه و اینکه داده برای تحلیل تجربه کارکنان استفاده می‌شود به کارمند اعلام شود.</t>
  </si>
  <si>
    <t>کاربر قبل از بیان محتوای اصلی، Notice تأییدشده EX را می‌شنود.</t>
  </si>
  <si>
    <t>CON-03</t>
  </si>
  <si>
    <t>شروع Open-ended</t>
  </si>
  <si>
    <t>مکالمه با یک سؤال باز آغاز شود و کارمند مجبور به انتخاب منو یا طبقه‌بندی Voice خود نباشد.</t>
  </si>
  <si>
    <t>کارمند بتواند هر موضوعی را با زبان طبیعی مطرح کند بدون اینکه ابتدا Category انتخاب کند.</t>
  </si>
  <si>
    <t>CON-04</t>
  </si>
  <si>
    <t>Follow-up هوشمند در صورت ابهام</t>
  </si>
  <si>
    <t>AI فقط زمانی سؤال تکمیلی بپرسد که برای فهم موضوع Gap واقعی وجود دارد؛ سؤال باید Neutral، مرتبط و مبتنی بر صحبت قبلی فرد باشد.</t>
  </si>
  <si>
    <t>برای جمله مبهم «فرایند ارزیابی خوب نیست» AI سؤال روشن‌کننده مرتبط بپرسد.</t>
  </si>
  <si>
    <t>CON-05</t>
  </si>
  <si>
    <t>عدم تکرار سؤال</t>
  </si>
  <si>
    <t>AI اطلاعاتی را که کارمند قبلاً در همان Conversation گفته دوباره سؤال نکند و Context مکالمه را حفظ کند.</t>
  </si>
  <si>
    <t>در سناریوی UAT، اطلاعات گفته‌شده مجدداً درخواست نشود.</t>
  </si>
  <si>
    <t>CON-06</t>
  </si>
  <si>
    <t>محدودیت Follow-up</t>
  </si>
  <si>
    <t>مکالمه نباید به مصاحبه طولانی یا بازجویی تبدیل شود. تعداد/منطق Follow-up قابل کنترل باشد و پس از فهم کافی مکالمه جمع‌بندی شود.</t>
  </si>
  <si>
    <t>برای Conversation عادی، تعداد Follow-up از سقف توافق‌شده در UAT عبور نکند.</t>
  </si>
  <si>
    <t>CON-07</t>
  </si>
  <si>
    <t>تشخیص Voice کامل و عدم سؤال اضافه</t>
  </si>
  <si>
    <t>اگر کارمند از ابتدا موضوع، زمان/زمینه و اثر مسئله را روشن توضیح داده، AI فقط به‌دلیل قابلیت مکالمه سؤال اضافه نپرسد.</t>
  </si>
  <si>
    <t>سناریوی کامل تست شود و Unnecessary Follow-up رخ ندهد.</t>
  </si>
  <si>
    <t>CON-08</t>
  </si>
  <si>
    <t>Summary Confirmation در صورت امکان</t>
  </si>
  <si>
    <t>در صورت پشتیبانی محصول، AI بتواند قبل از پایان برداشت کوتاه خود را بازگو کند تا فرد آن را تأیید یا اصلاح کند.</t>
  </si>
  <si>
    <t>کاربر بتواند Summary را تأیید یا یک نکته مهم را اصلاح کند.</t>
  </si>
  <si>
    <t>CON-09</t>
  </si>
  <si>
    <t>پایان شفاف بدون وعده پیگیری فردی</t>
  </si>
  <si>
    <t>Closing Message دریافت Voice را تأیید کند، اما چون MVP برای رسیدگی فردی طراحی نشده، SLA یا وعده پاسخ شخصی ایجاد نکند.</t>
  </si>
  <si>
    <t>هیچ عبارت «ظرف X ساعت پیگیری می‌شود» یا وعده خارج از Scope شنیده نشود.</t>
  </si>
  <si>
    <t>3. AI Analysis</t>
  </si>
  <si>
    <t>AI-01</t>
  </si>
  <si>
    <t>Speech-to-Text فارسی</t>
  </si>
  <si>
    <t>مکالمه فارسی با کیفیت قابل قبول به متن تبدیل شود و کیفیت آن روی نوع بیان واقعی کارکنان، نه فقط نمونه‌های استودیویی، سنجیده شود.</t>
  </si>
  <si>
    <t>مجموعه سناریوهای UAT با لهجه/سرعت طبیعی اجرا و خطاهای STT ثبت شوند.</t>
  </si>
  <si>
    <t>AI-02</t>
  </si>
  <si>
    <t>Transcript کامل مکالمه</t>
  </si>
  <si>
    <t>متن Conversation به شکلی قابل بازیابی برای کاربران مجاز ذخیره شود و ارتباط آن با Conversation ID حفظ شود.</t>
  </si>
  <si>
    <t>Transcript هر تماس تکمیل‌شده در Backend موجود و به تماس صحیح متصل باشد.</t>
  </si>
  <si>
    <t>AI-03</t>
  </si>
  <si>
    <t>Summary Fact-based</t>
  </si>
  <si>
    <t>AI برای هر مکالمه یا Voice Item خلاصه کوتاهی تولید کند که فقط آنچه فرد گفته بازتاب دهد و علت/قضاوت جدید اختراع نکند.</t>
  </si>
  <si>
    <t>Human Reviewer بتواند Summary را با Transcript مقایسه و Faithfulness آن را تأیید کند.</t>
  </si>
  <si>
    <t>AI-04</t>
  </si>
  <si>
    <t>تفکیک چند موضوع در یک مکالمه</t>
  </si>
  <si>
    <t>اگر کارمند در یک تماس چند مسئله مستقل مطرح کرد، سیستم آن‌ها را به Voice Itemهای جداگانه تفکیک کند تا هر موضوع Coding مستقل داشته باشد.</t>
  </si>
  <si>
    <t>سناریوی غذا + ارتقا + پرتال حداقل به سه Voice Item مجزا شکسته شود.</t>
  </si>
  <si>
    <t>AI-05</t>
  </si>
  <si>
    <t>تشخیص نوع Voice</t>
  </si>
  <si>
    <t>نوع پیام مانند پیشنهاد، Pain Point، شکایت، نگرانی، سؤال/ابهام یا تجربه مثبت تشخیص داده شود؛ در صورت نیاز Multi-label باشد.</t>
  </si>
  <si>
    <t>پیامی که هم Pain Point و هم Suggestion دارد، هر دو جنبه را از دست ندهد.</t>
  </si>
  <si>
    <t>AI-06</t>
  </si>
  <si>
    <t>Theme Detection</t>
  </si>
  <si>
    <t>موضوع اصلی هر Voice Item بر اساس Taxonomy مورد توافق EX شناسایی شود.</t>
  </si>
  <si>
    <t>Coding AI روی نمونه‌های Human-coded با تیم EX مقایسه شود.</t>
  </si>
  <si>
    <t>AI-07</t>
  </si>
  <si>
    <t>Sub-theme Detection</t>
  </si>
  <si>
    <t>در صورت وجود ساختار زیرموضوع، AI Voice را در Sub-theme مناسب قرار دهد تا گزارش بیش از حد کلی نشود.</t>
  </si>
  <si>
    <t>برای Voice رستوران، زیرموضوعی مانند کیفیت/تنوع در صورت تعریف Taxonomy تشخیص داده شود.</t>
  </si>
  <si>
    <t>AI-08</t>
  </si>
  <si>
    <t>Sentiment / Direction</t>
  </si>
  <si>
    <t>جهت کلی محتوای Voice در سطح Positive / Neutral-Mixed / Negative تحلیل شود؛ مبنا محتوای بیان‌شده باشد نه ادعای قطعی درباره حالت روانی فرد.</t>
  </si>
  <si>
    <t>AI-09</t>
  </si>
  <si>
    <t>Positive Signal Detection</t>
  </si>
  <si>
    <t>سیستم علاوه بر مشکلات و نارضایتی‌ها، تجربه‌های مثبت و بهبودهای دیده‌شده توسط کارکنان را نیز استخراج کند.</t>
  </si>
  <si>
    <t>بازخورد مثبت درباره یک خدمت در Dashboard/Report قابل مشاهده باشد.</t>
  </si>
  <si>
    <t>AI-10</t>
  </si>
  <si>
    <t>Frequency Analysis</t>
  </si>
  <si>
    <t>تعداد و سهم Voiceهای مرتبط با Theme/Sub-theme در بازه زمانی محاسبه شود تا موضوعات پرتکرار مشخص شوند.</t>
  </si>
  <si>
    <t>Top Themeها براساس واحد تحلیل مشخص و Denominator شفاف گزارش شوند.</t>
  </si>
  <si>
    <t>AI-11</t>
  </si>
  <si>
    <t>Trend Detection</t>
  </si>
  <si>
    <t>سیستم تغییر موضوعات در زمان را تشخیص دهد و Rising/Stable/Falling یا روند مشابه ارائه کند؛ صرف Volume بالا به معنی Alert نباشد.</t>
  </si>
  <si>
    <t>موضوعی با رشد محسوس نسبت به Baseline به‌عنوان Rising شناسایی شود.</t>
  </si>
  <si>
    <t>AI-12</t>
  </si>
  <si>
    <t>Similarity &amp; Clustering</t>
  </si>
  <si>
    <t>Voiceهای مشابه بدون حذف رکورد اصلی در Clusterهای مشترک قرار گیرند تا Patternهای تکرارشونده قابل مشاهده شوند.</t>
  </si>
  <si>
    <t>چند بازخورد مشابه درباره دسترسی روز اول در یک Cluster مشترک دیده شوند.</t>
  </si>
  <si>
    <t>AI-13</t>
  </si>
  <si>
    <t>Emerging Theme Detection</t>
  </si>
  <si>
    <t>سیستم بتواند موضوع جدیدی را که در Taxonomy موجود نیست ولی چند Voice مشابه درباره آن شکل گرفته شناسایی و به‌عنوان Candidate نمایش دهد.</t>
  </si>
  <si>
    <t>موضوع جدید به‌زور به نزدیک‌ترین Theme موجود Map نشود و Candidate قابل Review ایجاد شود.</t>
  </si>
  <si>
    <t>AI-14</t>
  </si>
  <si>
    <t>Confidence / عدم اطمینان مدل</t>
  </si>
  <si>
    <t>در صورت امکان Confidence خروجی‌های اصلی ثبت شود و AI در موارد مبهم بتواند Unclear / Needs Review بدهد، نه اینکه Classification قطعی بسازد.</t>
  </si>
  <si>
    <t>نمونه صوت یا متن مبهم به‌عنوان Low Confidence/Needs Review قابل تشخیص باشد.</t>
  </si>
  <si>
    <t>AI-15</t>
  </si>
  <si>
    <t>Severity / اهمیت بالقوه</t>
  </si>
  <si>
    <t>در صورت امکان، شدت موضوع از Sentiment جداگانه تشخیص داده شود تا یک محتوای آرام ولی مهم از یک شکایت کم‌اهمیت متمایز شود.</t>
  </si>
  <si>
    <t>یک موضوع دارای پیامد جدی بتواند Severity بالاتر از Sentiment آن دریافت کند.</t>
  </si>
  <si>
    <t>4. Segmentation &amp; Employee Context</t>
  </si>
  <si>
    <t>SEG-01</t>
  </si>
  <si>
    <t>دریافت دیتاست معتبر کارکنان MCI</t>
  </si>
  <si>
    <t>برای Pilot یک دیتاست کنترل‌شده شامل شماره تماس و Attributeهای موردنیاز کارکنان MCI در اختیار سیستم قرار گیرد.</t>
  </si>
  <si>
    <t>نسخه اولیه دیتاست بدون فیلدهای غیرضروری بارگذاری و قابل Mapping باشد.</t>
  </si>
  <si>
    <t>SEG-02</t>
  </si>
  <si>
    <t>ساختار سازمانی موردنیاز</t>
  </si>
  <si>
    <t>حداقل فیلدهای معاونت، اداره کل و اداره برای تحلیل Segmentها قابل استفاده باشند؛ Attribute اضافه فقط در صورت نیاز واقعی وارد شود.</t>
  </si>
  <si>
    <t>Voice هر تماس در Segment سازمانی صحیح Aggregate شود.</t>
  </si>
  <si>
    <t>SEG-03</t>
  </si>
  <si>
    <t>جداسازی Context از هویت نمایشی</t>
  </si>
  <si>
    <t>سیستم بتواند از Context سازمانی برای تحلیل استفاده کند بدون اینکه نام یا شماره فرد را در Dashboard عادی نمایش دهد.</t>
  </si>
  <si>
    <t>فیلتر سازمانی کار کند ولی جدول/نمودار نام یا شماره افراد را نشان ندهد.</t>
  </si>
  <si>
    <t>SEG-04</t>
  </si>
  <si>
    <t>Refresh / به‌روزرسانی دیتاست</t>
  </si>
  <si>
    <t>فرایند به‌روزرسانی Whitelist و Mapping کارکنان مشخص باشد تا جابه‌جایی سازمانی یا تغییر شماره باعث استفاده از داده قدیمی نشود.</t>
  </si>
  <si>
    <t>روش Refresh، تناوب و مسئول به‌روزرسانی مستند شود.</t>
  </si>
  <si>
    <t>SEG-05</t>
  </si>
  <si>
    <t>مدیریت Mapping ناموفق</t>
  </si>
  <si>
    <t>اگر شماره داخل Whitelist باشد ولی Context سازمانی آن قابل بازیابی نباشد، سیستم رکورد را Unmapped علامت بزند و از نسبت‌دادن حدسی جلوگیری کند.</t>
  </si>
  <si>
    <t>نمونه Unmapped در گزارش خطا/داده دیده شود و به واحد اشتباه نسبت داده نشود.</t>
  </si>
  <si>
    <t>SEG-06</t>
  </si>
  <si>
    <t>محدودیت جامعه Pilot به قرارداد MCI</t>
  </si>
  <si>
    <t>در نسخه اول Segmentها فقط برای جامعه MCI تحلیل شوند؛ گروه‌های قراردادی دیگر تا تعیین Source و Mapping معتبر خارج از Pilot بمانند.</t>
  </si>
  <si>
    <t>هیچ رکورد غیر-MCI بدون تصمیم جدید وارد جامعه Pilot نشود.</t>
  </si>
  <si>
    <t>5. Privacy &amp; Access</t>
  </si>
  <si>
    <t>PRV-01</t>
  </si>
  <si>
    <t>هویت Hidden by Default</t>
  </si>
  <si>
    <t>نام و شماره کارمند در View عادی سامانه نمایش داده نشود، حتی برای مدیر سامانه؛ مشاهده هویت نیازمند اقدام مشخص و سطح دسترسی ویژه باشد.</t>
  </si>
  <si>
    <t>بازکردن Dashboard/لیست تماس‌ها هویت را به‌صورت Default نشان ندهد.</t>
  </si>
  <si>
    <t>PRV-02</t>
  </si>
  <si>
    <t>دسترسی هویت فقط برای مدیر سامانه</t>
  </si>
  <si>
    <t>در Pilot تنها Role مدیر سامانه امکان Resolve کردن هویت را در صورت ضرورت داشته باشد؛ سایر کاربران EX چنین دسترسی نداشته باشند.</t>
  </si>
  <si>
    <t>کاربر غیرمدیر نتواند از UI، Export یا مسیر دیگر هویت را بازیابی کند.</t>
  </si>
  <si>
    <t>PRV-03</t>
  </si>
  <si>
    <t>Raw Call فقط برای مدیر سامانه</t>
  </si>
  <si>
    <t>فایل صوتی خام تماس فقط برای مدیر سامانه و در صورت نیاز عملیاتی/بازبینی قابل دسترسی باشد.</t>
  </si>
  <si>
    <t>هیچ View مدیریتی یا کاربر عادی امکان Play/Download صوت خام نداشته باشد.</t>
  </si>
  <si>
    <t>PRV-04</t>
  </si>
  <si>
    <t>خروجی مدیران به‌صورت Aggregate</t>
  </si>
  <si>
    <t>اگر خروجی به مدیران ارائه می‌شود، صرفاً تحلیل تجمیعی، Trend، Theme و Summary غیرهویتی نمایش داده شود؛ نه هویت فردی یا Raw Call.</t>
  </si>
  <si>
    <t>نمونه گزارش ارائه‌شده به مدیر فاقد نام، شماره و صوت فردی باشد.</t>
  </si>
  <si>
    <t>PRV-05</t>
  </si>
  <si>
    <t>Minimum Group Size / Privacy Suppression</t>
  </si>
  <si>
    <t>برای جلوگیری از شناسایی افراد در Segmentهای کوچک، حداقل تعداد لازم برای نمایش Drill-down یا Breakdown قابل تنظیم باشد.</t>
  </si>
  <si>
    <t>فیلترهایی که گروه بسیار کوچک می‌سازند داده جزئی نمایش ندهند.</t>
  </si>
  <si>
    <t>PRV-06</t>
  </si>
  <si>
    <t>ثبت Audit دسترسی به هویت/صوت</t>
  </si>
  <si>
    <t>هر بار که مدیر سامانه هویت یا Raw Call را مشاهده می‌کند، کاربر، زمان و رکورد موردنظر Log شود.</t>
  </si>
  <si>
    <t>یک دسترسی آزمایشی انجام و Audit Event قابل بازیابی باشد.</t>
  </si>
  <si>
    <t>PRV-07</t>
  </si>
  <si>
    <t>Retention Policy صوت</t>
  </si>
  <si>
    <t>مدت نگهداری فایل صوتی خام مشخص و قابل اعمال باشد؛ نگهداری نامحدود صرفاً به دلیل امکان فنی انجام نشود.</t>
  </si>
  <si>
    <t>Policy توافق‌شده بتواند روی رکوردهای Pilot اعمال و حذف/آرشیو آن قابل اثبات باشد.</t>
  </si>
  <si>
    <t>PRV-08</t>
  </si>
  <si>
    <t>Retention Policy Transcript و داده تحلیلی</t>
  </si>
  <si>
    <t>مدت نگهداری Transcript و داده ساختاریافته مستقل از Audio قابل تعریف باشد تا نیاز تحلیلی و محرمانگی متوازن شود.</t>
  </si>
  <si>
    <t>Retention هر نوع داده در مستند فنی مشخص شود.</t>
  </si>
  <si>
    <t>PRV-09</t>
  </si>
  <si>
    <t>PII Detection / Redaction در خروجی‌ها</t>
  </si>
  <si>
    <t>اگر کارمند در متن نام فرد دیگری یا جزئیات قابل‌شناسایی را بیان کرد، Output مدیریتی بتواند نسخه De-identified/Redacted ارائه دهد.</t>
  </si>
  <si>
    <t>سناریوی دارای نام شخص در Manager-facing Summary بدون PII نمایش داده شود.</t>
  </si>
  <si>
    <t>PRV-10</t>
  </si>
  <si>
    <t>Sensitive Voice Detection و جداسازی</t>
  </si>
  <si>
    <t>محتوای بالقوه حساس مانند آزار، تبعیض، تهدید یا تخلف از جریان عادی Dashboard/Alert جدا شود و دسترسی آن محدود باشد.</t>
  </si>
  <si>
    <t>سناریوی حساس در Dashboard عمومی با Transcript خام ظاهر نشود.</t>
  </si>
  <si>
    <t>PRV-11</t>
  </si>
  <si>
    <t>تفکیک دسترسی فنی از دسترسی محتوایی</t>
  </si>
  <si>
    <t>داشتن دسترسی Technical Admin به زیرساخت نباید به‌صورت پیش‌فرض معادل دسترسی آزاد به محتوای کارکنان باشد.</t>
  </si>
  <si>
    <t>Roleهای فنی و محتوایی در معماری دسترسی قابل تفکیک باشند.</t>
  </si>
  <si>
    <t>6. Knowledge Base Pilot</t>
  </si>
  <si>
    <t>KB-01</t>
  </si>
  <si>
    <t>Scope Knowledge فقط اداره خودمان</t>
  </si>
  <si>
    <t>در MVP فقط Knowledge مربوط به اداره ارتباطات و تجربه کارکنان وارد شود تا نیاز به Multi-owner Access و Governance پیچیده ایجاد نشود.</t>
  </si>
  <si>
    <t>AI فقط در Domainهای تأییدشده اداره پاسخ محتوایی بدهد.</t>
  </si>
  <si>
    <t>KB-02</t>
  </si>
  <si>
    <t>Seed Content تأییدشده</t>
  </si>
  <si>
    <t>تیم EX مجموعه اولیه سؤال/جواب، فرایند، لینک و اطلاعات خدمت را به‌عنوان Source of Truth آماده و تحویل دهد.</t>
  </si>
  <si>
    <t>محتوای بارگذاری‌شده دارای Owner و نسخه تأییدشده باشد.</t>
  </si>
  <si>
    <t>KB-03</t>
  </si>
  <si>
    <t>پاسخ مبتنی بر Source معتبر</t>
  </si>
  <si>
    <t>AI پاسخ را از Knowledge بارگذاری‌شده تولید کند و از ساختن سیاست، شماره یا فرایند خارج از منابع جلوگیری شود.</t>
  </si>
  <si>
    <t>سؤال دارای پاسخ در Knowledge پاسخ صحیح و هم‌راستا با Source دریافت کند.</t>
  </si>
  <si>
    <t>KB-04</t>
  </si>
  <si>
    <t>Guardrail محدوده پاسخ</t>
  </si>
  <si>
    <t>Agent بداند چه موضوعاتی داخل Domain پایلوت است و در خارج از آن پاسخ قطعی سازمانی تولید نکند.</t>
  </si>
  <si>
    <t>سؤال خارج از Scope با پاسخ کنترل‌شده مواجه شود، نه پاسخ ساختگی.</t>
  </si>
  <si>
    <t>KB-05</t>
  </si>
  <si>
    <t>I Don't Know / پاسخ ناموجود</t>
  </si>
  <si>
    <t>وقتی Knowledge پاسخ معتبر ندارد، AI صریحاً اعلام کند اطلاعات کافی ندارد و در صورت تعریف، مرجع جایگزین معرفی کند.</t>
  </si>
  <si>
    <t>سناریوی سؤال بدون پاسخ در Knowledge بدون Hallucination مدیریت شود.</t>
  </si>
  <si>
    <t>KB-06</t>
  </si>
  <si>
    <t>ارسال لینک/اطلاعات با پیامک</t>
  </si>
  <si>
    <t>در موارد مناسب AI بتواند لینک، اطلاعات تماس یا خلاصه موردنیاز را از طریق پیامک برای تماس‌گیرنده ارسال کند.</t>
  </si>
  <si>
    <t>در یک سناریوی تست، لینک تأییدشده به شماره تماس‌گیرنده ارسال شود.</t>
  </si>
  <si>
    <t>KB-07</t>
  </si>
  <si>
    <t>ثبت سؤالات بدون پاسخ</t>
  </si>
  <si>
    <t>سؤال‌هایی که AI نتوانسته از Knowledge پاسخ دهد ثبت شوند تا تیم EX Gapهای دانشی را ببیند.</t>
  </si>
  <si>
    <t>لیست Unanswered Questions قابل استخراج باشد.</t>
  </si>
  <si>
    <t>KB-08</t>
  </si>
  <si>
    <t>FAQ / سؤال پرتکرار</t>
  </si>
  <si>
    <t>سیستم از روی مکالمات نشان دهد چه سؤال‌هایی پرتکرارند تا محتوای Knowledge و ارتباطات داخلی براساس نیاز واقعی بهبود یابد.</t>
  </si>
  <si>
    <t>Top Questions در یک بازه زمانی قابل مشاهده باشند.</t>
  </si>
  <si>
    <t>KB-09</t>
  </si>
  <si>
    <t>مدیریت Knowledge توسط یک Scope محدود در Pilot</t>
  </si>
  <si>
    <t>هیچ Requirement توسعه Multi-owner مانع Launch Pilot نشود.</t>
  </si>
  <si>
    <t>KB-10</t>
  </si>
  <si>
    <t>عدم Auto-update Knowledge در MVP</t>
  </si>
  <si>
    <t>AI می‌تواند Gapها را نشان دهد اما در نسخه اول حق تغییر خودکار Knowledge Base را نداشته باشد.</t>
  </si>
  <si>
    <t>هیچ تغییر Knowledge بدون اقدام/تأیید انسانی اعمال نشود.</t>
  </si>
  <si>
    <t>7. Analytics &amp; Management View</t>
  </si>
  <si>
    <t>AN-01</t>
  </si>
  <si>
    <t>Full View برای EX / مدیر سامانه</t>
  </si>
  <si>
    <t>یک View کامل تحلیلی برای تعداد محدودی از کاربران EX یا مدیر سامانه ایجاد شود؛ در MVP نیاز به چند Dashboard تفکیک‌شده برای مدیران نداریم.</t>
  </si>
  <si>
    <t>کاربر مجاز EX بتواند کل داده Pilot را طبق قواعد Privacy تحلیل کند.</t>
  </si>
  <si>
    <t>AN-02</t>
  </si>
  <si>
    <t>حجم تماس و Voice Item</t>
  </si>
  <si>
    <t>Dashboard تعداد Conversationها و در صورت Segmentation، تعداد Voice Itemها را با بازه زمانی شفاف نمایش دهد.</t>
  </si>
  <si>
    <t>Count تماس و Voice Item با داده خام Pilot قابل تطبیق باشد.</t>
  </si>
  <si>
    <t>AN-03</t>
  </si>
  <si>
    <t>Top Themes و Sub-themes</t>
  </si>
  <si>
    <t>موضوعات و زیرموضوعات پرتکرار با تعداد/سهم مشخص نمایش داده شوند.</t>
  </si>
  <si>
    <t>کاربر بتواند Top Themeها را برای بازه زمانی انتخاب‌شده ببیند.</t>
  </si>
  <si>
    <t>AN-04</t>
  </si>
  <si>
    <t>Trend و تغییر موضوعات</t>
  </si>
  <si>
    <t>Dashboard تغییر Themeها در طول زمان و موضوعات Rising/Stable/Falling را نشان دهد.</t>
  </si>
  <si>
    <t>یک Topic با افزایش واقعی نسبت به دوره پایه در Trend قابل تشخیص باشد.</t>
  </si>
  <si>
    <t>AN-05</t>
  </si>
  <si>
    <t>Positive / Negative Signals</t>
  </si>
  <si>
    <t>خروجی فقط شکایت‌محور نباشد و تجربه‌های مثبت نیز در کنار Signalهای منفی قابل مشاهده باشند.</t>
  </si>
  <si>
    <t>حداقل یک View/فیلتر برای Positive Signals وجود داشته باشد.</t>
  </si>
  <si>
    <t>AN-06</t>
  </si>
  <si>
    <t>Segment Analysis</t>
  </si>
  <si>
    <t>تحلیل بر اساس معاونت، اداره کل و اداره در صورت کفایت داده و رعایت Privacy ممکن باشد.</t>
  </si>
  <si>
    <t>فیلتر Segment روی داده Mapping‌شده کار کند و گروه کوچک Suppress شود.</t>
  </si>
  <si>
    <t>AN-07</t>
  </si>
  <si>
    <t>فیلتر زمانی</t>
  </si>
  <si>
    <t>امکان مشاهده بازه‌های زمانی مختلف مانند روز/هفته/ماه یا Custom Range وجود داشته باشد.</t>
  </si>
  <si>
    <t>انتخاب بازه زمانی تمام KPIها و Trendهای مرتبط را به‌روزرسانی کند.</t>
  </si>
  <si>
    <t>AN-08</t>
  </si>
  <si>
    <t>Drill-down تا Summary مکالمه</t>
  </si>
  <si>
    <t>EX بتواند از Theme یا Cluster به Voice Item/Conversation Summary برسد؛ دسترسی به Transcript یا Audio تابع Permission باشد.</t>
  </si>
  <si>
    <t>از یک Theme نمونه به Summaryهای پشتیبان Drill-down انجام شود.</t>
  </si>
  <si>
    <t>AN-09</t>
  </si>
  <si>
    <t>Alert / Management Signal</t>
  </si>
  <si>
    <t>برای موضوعات پرتکرار، Spike، Trend مهم یا مورد حساس امکان ایجاد Signal/Alert قابل تنظیم وجود داشته باشد؛ هر Voice منفی نباید Alert شود.</t>
  </si>
  <si>
    <t>سناریوی Spike Alert ایجاد کند ولی High Volume پایدار Alert تکراری نسازد.</t>
  </si>
  <si>
    <t>AN-10</t>
  </si>
  <si>
    <t>خروجی مدیریتی دوره‌ای</t>
  </si>
  <si>
    <t>سیستم بتواند Summary قابل ارائه از مهم‌ترین موضوعات، تغییرات و Signalها برای تیم EX/جلسه مدیریت تولید کند.</t>
  </si>
  <si>
    <t>یک Weekly/Periodic Summary از داده Pilot با Evidence قابل ردیابی تولید شود.</t>
  </si>
  <si>
    <t>AN-11</t>
  </si>
  <si>
    <t>Export داده/گزارش</t>
  </si>
  <si>
    <t>در صورت نیاز تیم EX، خروجی ساختاریافته یا گزارش قابل Export باشد تا تحلیل تکمیلی یا ارائه مدیریتی ممکن شود.</t>
  </si>
  <si>
    <t>Export نمونه فاقد فیلدهای هویتی غیرمجاز باشد.</t>
  </si>
  <si>
    <t>AN-12</t>
  </si>
  <si>
    <t>دستیار تحلیل با زبان طبیعی</t>
  </si>
  <si>
    <t>در صورت آماده بودن قابلیت، کاربران محدود EX بتوانند درباره کل داده Pilot سؤال طبیعی بپرسند و پاسخ همراه با شواهد دریافت کنند.</t>
  </si>
  <si>
    <t>سؤال «مهم‌ترین موضوع این ماه چیست؟» پاسخ مبتنی بر داده Pilot و قابل Trace دریافت کند.</t>
  </si>
  <si>
    <t>8. Pilot, UAT &amp; Technical Setup</t>
  </si>
  <si>
    <t>TEC-01</t>
  </si>
  <si>
    <t>Environment اختصاصی EX</t>
  </si>
  <si>
    <t>به دلیل محرمانگی داده کارکنان، محیط سرویس EX با منابع و تنظیمات مشخص و مورد تأیید ایجاد شود.</t>
  </si>
  <si>
    <t>Environment Pilot مستقل و قابل شناسایی از محیط‌های دیگر آماده باشد.</t>
  </si>
  <si>
    <t>TEC-02</t>
  </si>
  <si>
    <t>Database / Namespace / Compute</t>
  </si>
  <si>
    <t>زیرساخت داده، Namespace و منابع پردازشی موردنیاز قبل از UAT فراهم و ظرفیت اولیه مشخص شود.</t>
  </si>
  <si>
    <t>تیم فنی آماده‌بودن اجزای زیرساخت را برای شروع UAT تأیید کند.</t>
  </si>
  <si>
    <t>TEC-03</t>
  </si>
  <si>
    <t>Network / Domain / Security Setup</t>
  </si>
  <si>
    <t>نیازهای Network، Domain و دسترسی‌های امنیتی لازم برای سرویس صوتی و پنل تحلیل مشخص و اجرا شوند.</t>
  </si>
  <si>
    <t>Checklist زیرساختی بدون Blocker باز پیش از UAT بسته شود.</t>
  </si>
  <si>
    <t>TEC-04</t>
  </si>
  <si>
    <t>اتصال سرشماره به سرویس AI</t>
  </si>
  <si>
    <t>سرشماره/شماره پایلوت به Voice Agent و Backend صحیح متصل شود و مسیر تماس End-to-End تست شود.</t>
  </si>
  <si>
    <t>تماس آزمایشی از شماره Whitelist از سرشماره تا ذخیره رکورد موفق باشد.</t>
  </si>
  <si>
    <t>TEC-05</t>
  </si>
  <si>
    <t>Demo / Instance آزمایشی</t>
  </si>
  <si>
    <t>پیش از Sign-off کامل، یک محیط آزمایشی با داده غیرحساس یا Sample برای Explore کردن محصول و کشف Gap واقعی در اختیار تیم EX قرار گیرد.</t>
  </si>
  <si>
    <t>تیم EX بتواند بدون داده واقعی کارکنان قابلیت‌های اصلی را مشاهده و تست کند.</t>
  </si>
  <si>
    <t>TEC-06</t>
  </si>
  <si>
    <t>بارگذاری Whitelist و Mapping Pilot</t>
  </si>
  <si>
    <t>دیتاست شماره‌ها و Context سازمانی جامعه Pilot با فرمت توافق‌شده آماده، اعتبارسنجی و وارد سیستم شود.</t>
  </si>
  <si>
    <t>نمونه‌گیری از Mappingها بدون خطای معنادار تأیید شود.</t>
  </si>
  <si>
    <t>TEC-07</t>
  </si>
  <si>
    <t>بارگذاری Seed Knowledge</t>
  </si>
  <si>
    <t>Knowledge اولیه اداره خودمان در قالب مورد قبول محصول آماده و بارگذاری شود.</t>
  </si>
  <si>
    <t>مجموعه سؤال‌های Golden به پاسخ صحیح بر اساس Seed Knowledge برسند.</t>
  </si>
  <si>
    <t>TEC-08</t>
  </si>
  <si>
    <t>Track A: Golden Test Scenarios</t>
  </si>
  <si>
    <t>مجموعه سناریوهای کنترل‌شده برای تست Featureها طراحی شود؛ مانند Voice چندموضوعی، Voice مبهم، Positive، سؤال بدون پاسخ، Sensitive و تماس قطع‌شده.</t>
  </si>
  <si>
    <t>برای هر سناریو Expected Result و Pass/Fail ثبت شود.</t>
  </si>
  <si>
    <t>TEC-09</t>
  </si>
  <si>
    <t>Track B: Natural Use</t>
  </si>
  <si>
    <t>علاوه بر تست اسکریپت‌شده، اعضای اداره مانند یک کاربر واقعی و بدون متن از پیش تعیین‌شده از کانال استفاده کنند تا رفتار طبیعی محصول سنجیده شود.</t>
  </si>
  <si>
    <t>Feedback کاربران Natural Use جدا از Golden Scenario Tests ثبت شود.</t>
  </si>
  <si>
    <t>TEC-10</t>
  </si>
  <si>
    <t>Internal UAT و Issue Log</t>
  </si>
  <si>
    <t>تمام خطاها، Gapها، رفتارهای غیرمنتظره و درخواست‌های اصلاح در یک Issue Log واحد ثبت شوند.</t>
  </si>
  <si>
    <t>هر Issue دارای شناسه، شدت، Owner، وضعیت و نتیجه Retest باشد.</t>
  </si>
  <si>
    <t>TEC-11</t>
  </si>
  <si>
    <t>Retest پس از اصلاح</t>
  </si>
  <si>
    <t>هر اصلاح فنی یا Configuration مهم باید روی سناریوی قبلی مجدداً تست شود تا Regression ایجاد نشده باشد.</t>
  </si>
  <si>
    <t>Issue فقط بعد از Retest موفق بسته شود.</t>
  </si>
  <si>
    <t>TEC-12</t>
  </si>
  <si>
    <t>Success Criteria Pilot</t>
  </si>
  <si>
    <t>قبل از اجرای Pilot معیارهای موفقیت در چهار دسته Experience، AI Quality، Management Value و Governance تعریف شوند.</t>
  </si>
  <si>
    <t>Go/No-Go براساس معیارهای از قبل ثبت‌شده انجام شود، نه صرف موفقیت Demo.</t>
  </si>
  <si>
    <t>TEC-13</t>
  </si>
  <si>
    <t>Failure / Red Flag Criteria</t>
  </si>
  <si>
    <t>مواردی مانند STT ضعیف، Alert Noise، افشای هویت، Follow-up نامرتبط یا Sensitive Detection نامطمئن به‌عنوان Red Flag از قبل تعریف شوند.</t>
  </si>
  <si>
    <t>برای Red Flagها تصمیم اصلاح/توقف/کاهش Scope مشخص باشد.</t>
  </si>
  <si>
    <t>TEC-14</t>
  </si>
  <si>
    <t>زمان‌بندی و Dependency ردیف‌به‌ردیف</t>
  </si>
  <si>
    <t>MCINEXT پس از Fit-Gap برای هر Requirement داخل Scope، Dependency و Deadline/برآورد زمانی ارائه کند.</t>
  </si>
  <si>
    <t>هیچ Timeline کلی بدون مشخص‌بودن Dependencyهای اصلی به‌عنوان تعهد نهایی ثبت نشود.</t>
  </si>
  <si>
    <t>TEC-15</t>
  </si>
  <si>
    <t>Go / No-Go Review</t>
  </si>
  <si>
    <t>پس از UAT و Pilot محدود، جلسه تصمیم برگزار شود و براساس Evidence مشخص شود محصول آماده توسعه بیشتر، نیازمند اصلاح یا نیازمند بازنگری Scope است.</t>
  </si>
  <si>
    <t>خروجی جلسه شامل تصمیم، Gapهای باز و Roadmap مرحله بعد باشد.</t>
  </si>
  <si>
    <t>مواردی که عمداً در MVP اولویت ندارند اما برای مراحل بعد حفظ می‌شوند</t>
  </si>
  <si>
    <t>Capability</t>
  </si>
  <si>
    <t>شرح</t>
  </si>
  <si>
    <t>زمان مناسب</t>
  </si>
  <si>
    <t>منطق تعویق</t>
  </si>
  <si>
    <t>اولویت آینده</t>
  </si>
  <si>
    <t>توضیحات</t>
  </si>
  <si>
    <t>Text / Chat Channel</t>
  </si>
  <si>
    <t>آماده‌سازی کانال متنی برای کاربرانی که Voice را ترجیح نمی‌دهند.</t>
  </si>
  <si>
    <t>بعد از تثبیت Voice یا به‌صورت موازی اگر Launch را عقب نیندازد.</t>
  </si>
  <si>
    <t>Scoped Manager Access</t>
  </si>
  <si>
    <t>هر مدیر فقط تحلیل حوزه سازمانی مجاز خود را ببیند و بتواند از دستیار مدیریتی سؤال کند.</t>
  </si>
  <si>
    <t>پس از Pilot؛ نیازمند توسعه RBAC/Org Scope.</t>
  </si>
  <si>
    <t>محصول فعلی تحلیل کلی دارد و دسترسی تفکیک‌شده نیازمند توسعه است.</t>
  </si>
  <si>
    <t>Multi-owner Knowledge Base</t>
  </si>
  <si>
    <t>هر Function HR مالک و ویرایشگر محتوای حوزه خودش باشد بدون دسترسی به حوزه دیگر.</t>
  </si>
  <si>
    <t>پس از Pilot.</t>
  </si>
  <si>
    <t>محصول فعلی چنین تفکیکی ندارد.</t>
  </si>
  <si>
    <t>AI-suggested Knowledge Update</t>
  </si>
  <si>
    <t>AI از سؤالات پرتکرار پیشنهاد اصلاح/ایجاد Knowledge بدهد و پس از تأیید Owner اعمال شود.</t>
  </si>
  <si>
    <t>Future.</t>
  </si>
  <si>
    <t>طبق جلسه آماده نیست و نیازمند طراحی/توسعه است.</t>
  </si>
  <si>
    <t>Outbound / Proactive Listening</t>
  </si>
  <si>
    <t>AI در Triggerهای مشخص مانند Onboarding با کارکنان تماس خروجی برقرار کند.</t>
  </si>
  <si>
    <t>پس از اثبات Inbound Listening.</t>
  </si>
  <si>
    <t>قابلیت Outbound در سبد محصول وجود دارد.</t>
  </si>
  <si>
    <t>Action / Case Management</t>
  </si>
  <si>
    <t>Voice منتخب به Case/Action/Owner/Deadline و پیگیری تبدیل شود.</t>
  </si>
  <si>
    <t>خارج از MVP Continuous Listening.</t>
  </si>
  <si>
    <t>هدف فاز اول رسیدگی فردی به همه تماس‌ها نیست.</t>
  </si>
  <si>
    <t>Closed Loop</t>
  </si>
  <si>
    <t>پس از اقدام، نتیجه سنجیده و به کارکنان بازگردانده شود.</t>
  </si>
  <si>
    <t>مرحله بلوغ بعدی.</t>
  </si>
  <si>
    <t>نیازمند Action Data و Governance تکمیلی است.</t>
  </si>
  <si>
    <t>این شیت فقط برای Dropdownهاست.</t>
  </si>
  <si>
    <t>P2 - مطلوب / پس از پایلوت</t>
  </si>
  <si>
    <t>نیازمند تنظیم / Configuration</t>
  </si>
  <si>
    <t>P3 - آینده</t>
  </si>
  <si>
    <t>نیازمند توسعه / Customization</t>
  </si>
  <si>
    <t>خارج از Scope فعلی</t>
  </si>
  <si>
    <t>نیازمند بررسی فنی</t>
  </si>
  <si>
    <t>فعلاً خارج از Scope</t>
  </si>
  <si>
    <t>Controlled Pilot داخل اداره تجربه</t>
  </si>
  <si>
    <t>در MVP نیاز به دسترسی چند Owner برای حوزه‌های مختلف نداریم؛ مدیریت Knowledge فقط توسط تیم/کاربر تعیین‌شده اداره تجربه انجام شود.</t>
  </si>
  <si>
    <t>طبق جلسه 23 شهریور: اولویت اصلی نیست ولی معماری آن مطلوب است.</t>
  </si>
  <si>
    <t>SEG-07</t>
  </si>
  <si>
    <t>اتصال مستقیم به SAP و همگام‌سازی خودکار اطلاعات کارکنان</t>
  </si>
  <si>
    <t>سامانه به‌جای دریافت و به‌روزرسانی دستی فایل Excel کارکنان، به SAP یا سرویس واسط مورد تأیید متصل شود و اطلاعات موردنیاز کارکنان را به‌صورت خودکار دریافت و به‌روزرسانی کند. اطلاعات موردنیاز می‌تواند شامل شماره تماس، وضعیت فعال بودن همکاری، معاونت، اداره کل، اداره و سایر Attributeهای مورد تأیید EX باشد. با ایجاد، جابه‌جایی یا خروج همکار در SAP، اطلاعات سامانه نیز براساس زمان‌بندی یا مکانیزم Sync مورد توافق به‌روزرسانی شود و نیاز به بارگذاری دستی فایل توسط تیم EX نباشد. فقط فیلدهای موردنیاز سامانه دریافت شوند و کل پروفایل SAP کپی نشود.</t>
  </si>
  <si>
    <t>پس از تغییر اطلاعات یک کارمند در SAP، مانند جابه‌جایی از یک اداره به اداره دیگر، اطلاعات او بدون بارگذاری Excel و در بازه زمانی توافق‌شده در سامانه EX به‌روزرسانی شود. همچنین کارکنان جدید به‌صورت خودکار به جامعه مجاز اضافه و کارکنانی که شرایط استفاده را از دست داده‌اند مطابق Rule از Whitelist خارج شوند. خطاهای Sync نیز قابل مشاهده و پیگیری باشند.</t>
  </si>
  <si>
    <t>وضعیت تکمیل یا قطع تماس نیازمند ارائه تعریف مشخص و واضح جهت ایجاد تگ می‌باشد که در فاز فعلی اولویت ندارد.</t>
  </si>
  <si>
    <t>برخی موارد مانند شناسه یکتا و تاریخ و ساعت از قبل در سامانه موجود است ولی وضعیت تکمیل یا قطع تماس نیازمند ارائه تعریف مشخص و واضح جهت ایجاد تگ می‌باشد که در فاز فعلی اولویت ندارد. همچنین جستجو روی Metadata نیازمند ارائه نمونه و توسعه از سمت تیم MCINEXT است.</t>
  </si>
  <si>
    <t>این مورد به دلیل عدم خوش تعریفی و عدم امکان تعریف روش صحیح سوال پرسیدن در حین تماس، احتیاج به بازبینی دارد.</t>
  </si>
  <si>
    <t>این بخش جزئی از کل یک سرویس می‌باشد و بهبود کیفیت بر عهده تیم MCINEXT است و نیازی به بررسی تک تک مکالمات از سوی EX نمی‌باشد.</t>
  </si>
  <si>
    <t>معیار پذیرش از طریق شنیدن مکالمه و بررسی خلاصه تماس امکان پذیر است.</t>
  </si>
  <si>
    <t>در سامانه تحلیل هوشمند به صورت خودکار به صورت جداگانه تشخیص داده می‌شوند.</t>
  </si>
  <si>
    <t xml:space="preserve">نیازمند تعریف دقیق‌تر </t>
  </si>
  <si>
    <t>امکان ارائه لیست ابتدایی بابت موضوعات مختلف از تیم EX به تیم MCINEXT وجود دارد.</t>
  </si>
  <si>
    <t>موجود در سامانه که به صورت خودکار ایجاد می‌کند.</t>
  </si>
  <si>
    <t>نیازمند تعریف دقیق‌تر از سوی تیم EX</t>
  </si>
  <si>
    <t>نیازمند تعریف دقیق تر</t>
  </si>
  <si>
    <t>به دلیل عدم ارائه transcribe، موضوعیت ندارد.</t>
  </si>
  <si>
    <t>ورود اطلاعات از طریق پنل به صورت سوال و پاسخ ممکن است.</t>
  </si>
  <si>
    <t>بر اساس مستند ارائه شده توسط EX تعریف می‌گردد.</t>
  </si>
  <si>
    <t>مشخص شدن سناریو‌های ارسال پیامک از طرف تیم EX و معرفی تیم فنی پیامکی به MCINEXT</t>
  </si>
  <si>
    <t>به صورت کلی Alertها و Trendها اطلاع رسانی می‌گردد ولی قابل تنظیم توسط کاربر نیست.</t>
  </si>
  <si>
    <t>توسط تیم EX انجام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</si>
</sst>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1F1F"/>
      <name val="Vazirmatn"/>
    </font>
    <font>
      <b/>
      <sz val="10"/>
      <color rgb="FFFFFFFF"/>
      <name val="Vazirmatn"/>
    </font>
    <font>
      <b/>
      <sz val="16"/>
      <color rgb="FFFFFFFF"/>
      <name val="Vazirmatn"/>
    </font>
    <font>
      <b/>
      <sz val="11"/>
      <color rgb="FF1F1F1F"/>
      <name val="Vazirmatn"/>
    </font>
    <font>
      <b/>
      <sz val="9"/>
      <color rgb="FFFFFFFF"/>
      <name val="Vazirmatn"/>
    </font>
    <font>
      <sz val="9"/>
      <name val="Carlito"/>
    </font>
    <font>
      <sz val="9"/>
      <color rgb="FF1F1F1F"/>
      <name val="Vazirmatn"/>
    </font>
    <font>
      <sz val="8"/>
      <name val="Carlito"/>
    </font>
    <font>
      <sz val="8"/>
      <color rgb="FF1F1F1F"/>
      <name val="Vazirmatn"/>
    </font>
    <font>
      <b/>
      <sz val="16"/>
      <color rgb="FF1F1F1F"/>
      <name val="Vazirmatn"/>
    </font>
    <font>
      <sz val="16"/>
      <color rgb="FF1F1F1F"/>
      <name val="Vazirmatn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1F8E9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5" fillId="2" borderId="7" xfId="0" applyFont="1" applyFill="1" applyBorder="1" applyAlignment="1">
      <alignment horizontal="center" vertical="center" wrapText="1" readingOrder="2"/>
    </xf>
    <xf numFmtId="0" fontId="5" fillId="2" borderId="8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0" borderId="11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vertical="center" wrapText="1" readingOrder="2"/>
    </xf>
    <xf numFmtId="0" fontId="7" fillId="0" borderId="0" xfId="0" applyFont="1" applyAlignment="1">
      <alignment vertical="center" wrapText="1" readingOrder="2"/>
    </xf>
    <xf numFmtId="0" fontId="7" fillId="0" borderId="4" xfId="0" applyFont="1" applyBorder="1" applyAlignment="1">
      <alignment vertical="center" wrapText="1" readingOrder="2"/>
    </xf>
    <xf numFmtId="0" fontId="7" fillId="0" borderId="5" xfId="0" applyFont="1" applyBorder="1" applyAlignment="1">
      <alignment vertical="center" wrapText="1" readingOrder="2"/>
    </xf>
    <xf numFmtId="0" fontId="7" fillId="0" borderId="9" xfId="0" applyFont="1" applyBorder="1" applyAlignment="1">
      <alignment vertical="center" wrapText="1" readingOrder="2"/>
    </xf>
    <xf numFmtId="0" fontId="7" fillId="0" borderId="6" xfId="0" applyFont="1" applyBorder="1" applyAlignment="1">
      <alignment vertical="center" wrapText="1" readingOrder="2"/>
    </xf>
    <xf numFmtId="0" fontId="9" fillId="0" borderId="1" xfId="0" applyFont="1" applyBorder="1" applyAlignment="1">
      <alignment vertical="center" wrapText="1" readingOrder="2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5" fillId="2" borderId="7" xfId="0" applyFont="1" applyFill="1" applyBorder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 readingOrder="2"/>
    </xf>
    <xf numFmtId="0" fontId="10" fillId="7" borderId="11" xfId="0" applyFont="1" applyFill="1" applyBorder="1" applyAlignment="1">
      <alignment horizontal="center" vertical="center" wrapText="1" readingOrder="2"/>
    </xf>
    <xf numFmtId="0" fontId="10" fillId="4" borderId="11" xfId="0" applyFont="1" applyFill="1" applyBorder="1" applyAlignment="1">
      <alignment horizontal="center" vertical="center" wrapText="1" readingOrder="2"/>
    </xf>
    <xf numFmtId="0" fontId="10" fillId="5" borderId="11" xfId="0" applyFont="1" applyFill="1" applyBorder="1" applyAlignment="1">
      <alignment horizontal="center" vertical="center" wrapText="1" readingOrder="2"/>
    </xf>
    <xf numFmtId="0" fontId="10" fillId="6" borderId="11" xfId="0" applyFont="1" applyFill="1" applyBorder="1" applyAlignment="1">
      <alignment horizontal="center" vertical="center" wrapText="1" readingOrder="2"/>
    </xf>
    <xf numFmtId="0" fontId="10" fillId="6" borderId="2" xfId="0" applyFont="1" applyFill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0" fontId="11" fillId="4" borderId="0" xfId="0" applyFont="1" applyFill="1" applyAlignment="1">
      <alignment horizontal="center" vertical="center" wrapText="1" readingOrder="2"/>
    </xf>
    <xf numFmtId="0" fontId="11" fillId="5" borderId="0" xfId="0" applyFont="1" applyFill="1" applyAlignment="1">
      <alignment horizontal="center" vertical="center" wrapText="1" readingOrder="2"/>
    </xf>
    <xf numFmtId="0" fontId="11" fillId="6" borderId="0" xfId="0" applyFont="1" applyFill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0" fillId="7" borderId="3" xfId="0" applyFont="1" applyFill="1" applyBorder="1" applyAlignment="1">
      <alignment horizontal="center" vertical="center" wrapText="1" readingOrder="2"/>
    </xf>
    <xf numFmtId="0" fontId="10" fillId="7" borderId="0" xfId="0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 vertical="center" wrapText="1" readingOrder="2"/>
    </xf>
    <xf numFmtId="0" fontId="10" fillId="5" borderId="0" xfId="0" applyFont="1" applyFill="1" applyAlignment="1">
      <alignment horizontal="center" vertical="center" wrapText="1" readingOrder="2"/>
    </xf>
    <xf numFmtId="0" fontId="10" fillId="6" borderId="0" xfId="0" applyFont="1" applyFill="1" applyAlignment="1">
      <alignment horizontal="center" vertical="center" wrapText="1" readingOrder="2"/>
    </xf>
    <xf numFmtId="0" fontId="10" fillId="6" borderId="4" xfId="0" applyFont="1" applyFill="1" applyBorder="1" applyAlignment="1">
      <alignment horizontal="center" vertical="center" wrapText="1" readingOrder="2"/>
    </xf>
    <xf numFmtId="0" fontId="11" fillId="0" borderId="12" xfId="0" applyFont="1" applyBorder="1" applyAlignment="1">
      <alignment horizontal="center" vertical="center" wrapText="1" readingOrder="2"/>
    </xf>
    <xf numFmtId="0" fontId="11" fillId="6" borderId="12" xfId="0" applyFont="1" applyFill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 readingOrder="2"/>
    </xf>
    <xf numFmtId="0" fontId="11" fillId="0" borderId="9" xfId="0" applyFont="1" applyBorder="1" applyAlignment="1">
      <alignment horizontal="center" vertical="center" wrapText="1" readingOrder="2"/>
    </xf>
    <xf numFmtId="0" fontId="11" fillId="4" borderId="9" xfId="0" applyFont="1" applyFill="1" applyBorder="1" applyAlignment="1">
      <alignment horizontal="center" vertical="center" wrapText="1" readingOrder="2"/>
    </xf>
    <xf numFmtId="0" fontId="11" fillId="5" borderId="9" xfId="0" applyFont="1" applyFill="1" applyBorder="1" applyAlignment="1">
      <alignment horizontal="center" vertical="center" wrapText="1" readingOrder="2"/>
    </xf>
    <xf numFmtId="0" fontId="11" fillId="6" borderId="9" xfId="0" applyFont="1" applyFill="1" applyBorder="1" applyAlignment="1">
      <alignment horizontal="center" vertical="center" wrapText="1" readingOrder="2"/>
    </xf>
    <xf numFmtId="0" fontId="11" fillId="6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20">
    <dxf>
      <font>
        <color rgb="FF666666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073763"/>
      </font>
      <fill>
        <patternFill patternType="solid">
          <bgColor rgb="FFD9EAF7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16"/>
        <color rgb="FF1F1F1F"/>
        <name val="Vazirmatn"/>
        <scheme val="none"/>
      </font>
      <alignment horizontal="center" vertical="center" textRotation="0" indent="0" justifyLastLine="0" shrinkToFit="0" readingOrder="2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tGapRequirements" displayName="FitGapRequirements" ref="A1:I88" totalsRowShown="0" headerRowDxfId="19" dataDxfId="9">
  <tableColumns count="9">
    <tableColumn id="1" xr3:uid="{00000000-0010-0000-0000-000001000000}" name="بلوک" dataDxfId="18"/>
    <tableColumn id="2" xr3:uid="{00000000-0010-0000-0000-000002000000}" name="ID" dataDxfId="17"/>
    <tableColumn id="3" xr3:uid="{00000000-0010-0000-0000-000003000000}" name="نیازمندی" dataDxfId="16"/>
    <tableColumn id="4" xr3:uid="{00000000-0010-0000-0000-000004000000}" name="شرح نیاز / رفتار مورد انتظار" dataDxfId="15"/>
    <tableColumn id="5" xr3:uid="{00000000-0010-0000-0000-000005000000}" name="سناریو یا معیار پذیرش" dataDxfId="14"/>
    <tableColumn id="6" xr3:uid="{00000000-0010-0000-0000-000006000000}" name="اولویت EX" dataDxfId="13"/>
    <tableColumn id="7" xr3:uid="{00000000-0010-0000-0000-000007000000}" name="وضعیت MCINEXT" dataDxfId="12"/>
    <tableColumn id="8" xr3:uid="{00000000-0010-0000-0000-000008000000}" name="توضیحات فنی / وابستگی" dataDxfId="11"/>
    <tableColumn id="9" xr3:uid="{00000000-0010-0000-0000-000009000000}" name="ددلاین اجرا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rightToLeft="1" zoomScaleNormal="100" workbookViewId="0">
      <selection activeCell="D27" sqref="D27:F27"/>
    </sheetView>
  </sheetViews>
  <sheetFormatPr baseColWidth="10" defaultColWidth="8.83203125" defaultRowHeight="14"/>
  <cols>
    <col min="1" max="1" width="23" style="9" customWidth="1"/>
    <col min="2" max="2" width="37.6640625" style="9" bestFit="1" customWidth="1"/>
    <col min="3" max="3" width="66" style="9" customWidth="1"/>
    <col min="4" max="16384" width="8.83203125" style="9"/>
  </cols>
  <sheetData>
    <row r="1" spans="1:6" ht="27.25" customHeight="1">
      <c r="A1" s="41" t="s">
        <v>0</v>
      </c>
      <c r="B1" s="41"/>
      <c r="C1" s="41"/>
      <c r="D1" s="41"/>
      <c r="E1" s="41"/>
      <c r="F1" s="41"/>
    </row>
    <row r="3" spans="1:6" ht="18">
      <c r="A3" s="42" t="s">
        <v>1</v>
      </c>
      <c r="B3" s="42"/>
      <c r="C3" s="42"/>
      <c r="D3" s="42"/>
      <c r="E3" s="42"/>
      <c r="F3" s="42"/>
    </row>
    <row r="5" spans="1:6" s="18" customFormat="1" ht="16">
      <c r="A5" s="16" t="s">
        <v>2</v>
      </c>
      <c r="B5" s="25" t="s">
        <v>3</v>
      </c>
      <c r="C5" s="17" t="s">
        <v>4</v>
      </c>
    </row>
    <row r="6" spans="1:6" s="18" customFormat="1" ht="32">
      <c r="A6" s="19" t="s">
        <v>5</v>
      </c>
      <c r="B6" s="26" t="s">
        <v>6</v>
      </c>
      <c r="C6" s="20" t="s">
        <v>7</v>
      </c>
    </row>
    <row r="7" spans="1:6" s="18" customFormat="1" ht="32">
      <c r="A7" s="21" t="s">
        <v>8</v>
      </c>
      <c r="B7" s="27" t="s">
        <v>448</v>
      </c>
      <c r="C7" s="22" t="s">
        <v>9</v>
      </c>
    </row>
    <row r="8" spans="1:6" s="18" customFormat="1" ht="16">
      <c r="A8" s="21" t="s">
        <v>10</v>
      </c>
      <c r="B8" s="27" t="s">
        <v>11</v>
      </c>
      <c r="C8" s="22" t="s">
        <v>12</v>
      </c>
    </row>
    <row r="9" spans="1:6" s="18" customFormat="1" ht="16">
      <c r="A9" s="21" t="s">
        <v>13</v>
      </c>
      <c r="B9" s="27" t="s">
        <v>14</v>
      </c>
      <c r="C9" s="22" t="s">
        <v>15</v>
      </c>
    </row>
    <row r="10" spans="1:6" s="18" customFormat="1" ht="32">
      <c r="A10" s="21" t="s">
        <v>16</v>
      </c>
      <c r="B10" s="27" t="s">
        <v>17</v>
      </c>
      <c r="C10" s="22" t="s">
        <v>18</v>
      </c>
    </row>
    <row r="11" spans="1:6" s="18" customFormat="1" ht="16">
      <c r="A11" s="21" t="s">
        <v>19</v>
      </c>
      <c r="B11" s="27" t="s">
        <v>20</v>
      </c>
      <c r="C11" s="22" t="s">
        <v>21</v>
      </c>
    </row>
    <row r="12" spans="1:6" s="18" customFormat="1" ht="16">
      <c r="A12" s="21" t="s">
        <v>22</v>
      </c>
      <c r="B12" s="27" t="s">
        <v>23</v>
      </c>
      <c r="C12" s="22" t="s">
        <v>24</v>
      </c>
    </row>
    <row r="13" spans="1:6" s="18" customFormat="1" ht="32">
      <c r="A13" s="21" t="s">
        <v>25</v>
      </c>
      <c r="B13" s="27" t="s">
        <v>26</v>
      </c>
      <c r="C13" s="22" t="s">
        <v>27</v>
      </c>
    </row>
    <row r="14" spans="1:6" s="18" customFormat="1" ht="16">
      <c r="A14" s="21" t="s">
        <v>28</v>
      </c>
      <c r="B14" s="27" t="s">
        <v>29</v>
      </c>
      <c r="C14" s="22" t="s">
        <v>30</v>
      </c>
    </row>
    <row r="15" spans="1:6" s="18" customFormat="1" ht="16">
      <c r="A15" s="21" t="s">
        <v>31</v>
      </c>
      <c r="B15" s="27" t="s">
        <v>32</v>
      </c>
      <c r="C15" s="22" t="s">
        <v>33</v>
      </c>
    </row>
    <row r="16" spans="1:6" s="18" customFormat="1" ht="16">
      <c r="A16" s="23" t="s">
        <v>34</v>
      </c>
      <c r="B16" s="28" t="s">
        <v>35</v>
      </c>
      <c r="C16" s="24" t="s">
        <v>36</v>
      </c>
    </row>
    <row r="18" spans="1:6" ht="18">
      <c r="A18" s="42" t="s">
        <v>37</v>
      </c>
      <c r="B18" s="42"/>
      <c r="C18" s="42"/>
      <c r="D18" s="42"/>
      <c r="E18" s="42"/>
      <c r="F18" s="42"/>
    </row>
    <row r="20" spans="1:6" s="18" customFormat="1" ht="16">
      <c r="A20" s="16" t="s">
        <v>38</v>
      </c>
      <c r="B20" s="17" t="s">
        <v>39</v>
      </c>
    </row>
    <row r="21" spans="1:6" s="18" customFormat="1" ht="16.75" customHeight="1">
      <c r="A21" s="19" t="s">
        <v>41</v>
      </c>
      <c r="B21" s="20">
        <f>COUNTA('Fit-Gap MVP'!$C$2:$C$201)</f>
        <v>87</v>
      </c>
    </row>
    <row r="22" spans="1:6" s="18" customFormat="1" ht="16">
      <c r="A22" s="21" t="s">
        <v>43</v>
      </c>
      <c r="B22" s="22">
        <f>COUNTIF('Fit-Gap MVP'!$F$2:$F$201,"P1 - ضروری برای MVP")</f>
        <v>0</v>
      </c>
      <c r="D22" s="29"/>
      <c r="E22" s="30"/>
      <c r="F22" s="31"/>
    </row>
    <row r="23" spans="1:6" s="18" customFormat="1" ht="16">
      <c r="A23" s="21" t="s">
        <v>44</v>
      </c>
      <c r="B23" s="22">
        <f>COUNTIF('Fit-Gap MVP'!$G$2:$G$201,"موجود در محصول")</f>
        <v>43</v>
      </c>
      <c r="D23" s="29"/>
      <c r="E23" s="30"/>
      <c r="F23" s="31"/>
    </row>
    <row r="24" spans="1:6" s="18" customFormat="1" ht="16">
      <c r="A24" s="21" t="s">
        <v>45</v>
      </c>
      <c r="B24" s="22">
        <f>COUNTIF('Fit-Gap MVP'!$G$2:$G$201,"نیازمند تنظیم / Configuration")</f>
        <v>17</v>
      </c>
      <c r="D24" s="29"/>
      <c r="E24" s="30"/>
      <c r="F24" s="31"/>
    </row>
    <row r="25" spans="1:6" s="18" customFormat="1" ht="16">
      <c r="A25" s="23" t="s">
        <v>46</v>
      </c>
      <c r="B25" s="24">
        <f>COUNTIF('Fit-Gap MVP'!$G$2:$G$201,"نیازمند توسعه / Customization")</f>
        <v>17</v>
      </c>
      <c r="D25" s="32"/>
      <c r="E25" s="33"/>
      <c r="F25" s="34"/>
    </row>
    <row r="26" spans="1:6" ht="15">
      <c r="D26" s="43" t="s">
        <v>40</v>
      </c>
      <c r="E26" s="43"/>
      <c r="F26" s="43"/>
    </row>
    <row r="27" spans="1:6" ht="165" customHeight="1">
      <c r="D27" s="40" t="s">
        <v>42</v>
      </c>
      <c r="E27" s="40"/>
      <c r="F27" s="40"/>
    </row>
    <row r="28" spans="1:6" ht="13.75" customHeight="1">
      <c r="D28" s="35"/>
      <c r="E28" s="35"/>
      <c r="F28" s="35"/>
    </row>
    <row r="29" spans="1:6">
      <c r="D29" s="35"/>
      <c r="E29" s="35"/>
      <c r="F29" s="35"/>
    </row>
  </sheetData>
  <mergeCells count="5">
    <mergeCell ref="D27:F27"/>
    <mergeCell ref="A1:F1"/>
    <mergeCell ref="A3:F3"/>
    <mergeCell ref="A18:F18"/>
    <mergeCell ref="D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rightToLeft="1" tabSelected="1" topLeftCell="A46" workbookViewId="0">
      <selection activeCell="G53" sqref="G53"/>
    </sheetView>
  </sheetViews>
  <sheetFormatPr baseColWidth="10" defaultColWidth="8.83203125" defaultRowHeight="12"/>
  <cols>
    <col min="1" max="1" width="26.1640625" style="18" bestFit="1" customWidth="1"/>
    <col min="2" max="2" width="6.5" style="18" bestFit="1" customWidth="1"/>
    <col min="3" max="3" width="30.6640625" style="18" bestFit="1" customWidth="1"/>
    <col min="4" max="4" width="62" style="18" customWidth="1"/>
    <col min="5" max="5" width="48" style="18" customWidth="1"/>
    <col min="6" max="6" width="24" style="18" customWidth="1"/>
    <col min="7" max="7" width="31" style="18" customWidth="1"/>
    <col min="8" max="8" width="46" style="18" customWidth="1"/>
    <col min="9" max="9" width="22" style="18" customWidth="1"/>
    <col min="10" max="16384" width="8.83203125" style="18"/>
  </cols>
  <sheetData>
    <row r="1" spans="1:9" ht="16">
      <c r="A1" s="16" t="s">
        <v>47</v>
      </c>
      <c r="B1" s="25" t="s">
        <v>48</v>
      </c>
      <c r="C1" s="25" t="s">
        <v>49</v>
      </c>
      <c r="D1" s="25" t="s">
        <v>50</v>
      </c>
      <c r="E1" s="25" t="s">
        <v>51</v>
      </c>
      <c r="F1" s="25" t="s">
        <v>52</v>
      </c>
      <c r="G1" s="25" t="s">
        <v>53</v>
      </c>
      <c r="H1" s="25" t="s">
        <v>54</v>
      </c>
      <c r="I1" s="17" t="s">
        <v>55</v>
      </c>
    </row>
    <row r="2" spans="1:9" ht="108">
      <c r="A2" s="45" t="s">
        <v>56</v>
      </c>
      <c r="B2" s="46" t="s">
        <v>57</v>
      </c>
      <c r="C2" s="46" t="s">
        <v>58</v>
      </c>
      <c r="D2" s="46" t="s">
        <v>59</v>
      </c>
      <c r="E2" s="46" t="s">
        <v>60</v>
      </c>
      <c r="F2" s="47"/>
      <c r="G2" s="48" t="s">
        <v>442</v>
      </c>
      <c r="H2" s="49"/>
      <c r="I2" s="50"/>
    </row>
    <row r="3" spans="1:9" ht="81">
      <c r="A3" s="51" t="s">
        <v>56</v>
      </c>
      <c r="B3" s="52" t="s">
        <v>61</v>
      </c>
      <c r="C3" s="52" t="s">
        <v>62</v>
      </c>
      <c r="D3" s="52" t="s">
        <v>63</v>
      </c>
      <c r="E3" s="52" t="s">
        <v>64</v>
      </c>
      <c r="F3" s="53"/>
      <c r="G3" s="54" t="s">
        <v>442</v>
      </c>
      <c r="H3" s="55"/>
      <c r="I3" s="56"/>
    </row>
    <row r="4" spans="1:9" ht="81">
      <c r="A4" s="51" t="s">
        <v>56</v>
      </c>
      <c r="B4" s="52" t="s">
        <v>65</v>
      </c>
      <c r="C4" s="52" t="s">
        <v>66</v>
      </c>
      <c r="D4" s="52" t="s">
        <v>67</v>
      </c>
      <c r="E4" s="52" t="s">
        <v>68</v>
      </c>
      <c r="F4" s="53"/>
      <c r="G4" s="54" t="s">
        <v>446</v>
      </c>
      <c r="H4" s="55"/>
      <c r="I4" s="56"/>
    </row>
    <row r="5" spans="1:9" ht="81">
      <c r="A5" s="51" t="s">
        <v>56</v>
      </c>
      <c r="B5" s="52" t="s">
        <v>69</v>
      </c>
      <c r="C5" s="52" t="s">
        <v>70</v>
      </c>
      <c r="D5" s="52" t="s">
        <v>71</v>
      </c>
      <c r="E5" s="52" t="s">
        <v>72</v>
      </c>
      <c r="F5" s="53"/>
      <c r="G5" s="54" t="s">
        <v>444</v>
      </c>
      <c r="H5" s="55"/>
      <c r="I5" s="56"/>
    </row>
    <row r="6" spans="1:9" ht="81">
      <c r="A6" s="51" t="s">
        <v>56</v>
      </c>
      <c r="B6" s="52" t="s">
        <v>73</v>
      </c>
      <c r="C6" s="52" t="s">
        <v>74</v>
      </c>
      <c r="D6" s="52" t="s">
        <v>75</v>
      </c>
      <c r="E6" s="52" t="s">
        <v>76</v>
      </c>
      <c r="F6" s="53"/>
      <c r="G6" s="54" t="s">
        <v>444</v>
      </c>
      <c r="H6" s="55"/>
      <c r="I6" s="56"/>
    </row>
    <row r="7" spans="1:9" ht="216">
      <c r="A7" s="51" t="s">
        <v>56</v>
      </c>
      <c r="B7" s="52" t="s">
        <v>77</v>
      </c>
      <c r="C7" s="52" t="s">
        <v>78</v>
      </c>
      <c r="D7" s="52" t="s">
        <v>79</v>
      </c>
      <c r="E7" s="52" t="s">
        <v>80</v>
      </c>
      <c r="F7" s="53"/>
      <c r="G7" s="54" t="s">
        <v>444</v>
      </c>
      <c r="H7" s="55" t="s">
        <v>456</v>
      </c>
      <c r="I7" s="56"/>
    </row>
    <row r="8" spans="1:9" ht="108">
      <c r="A8" s="51" t="s">
        <v>56</v>
      </c>
      <c r="B8" s="52" t="s">
        <v>81</v>
      </c>
      <c r="C8" s="52" t="s">
        <v>82</v>
      </c>
      <c r="D8" s="52" t="s">
        <v>83</v>
      </c>
      <c r="E8" s="52" t="s">
        <v>84</v>
      </c>
      <c r="F8" s="53"/>
      <c r="G8" s="54" t="s">
        <v>446</v>
      </c>
      <c r="H8" s="55" t="s">
        <v>455</v>
      </c>
      <c r="I8" s="56"/>
    </row>
    <row r="9" spans="1:9" ht="81">
      <c r="A9" s="51" t="s">
        <v>56</v>
      </c>
      <c r="B9" s="52" t="s">
        <v>85</v>
      </c>
      <c r="C9" s="52" t="s">
        <v>86</v>
      </c>
      <c r="D9" s="52" t="s">
        <v>87</v>
      </c>
      <c r="E9" s="52" t="s">
        <v>88</v>
      </c>
      <c r="F9" s="53"/>
      <c r="G9" s="54" t="s">
        <v>44</v>
      </c>
      <c r="H9" s="55"/>
      <c r="I9" s="56"/>
    </row>
    <row r="10" spans="1:9" ht="81">
      <c r="A10" s="57" t="s">
        <v>89</v>
      </c>
      <c r="B10" s="58" t="s">
        <v>90</v>
      </c>
      <c r="C10" s="58" t="s">
        <v>91</v>
      </c>
      <c r="D10" s="58" t="s">
        <v>92</v>
      </c>
      <c r="E10" s="58" t="s">
        <v>93</v>
      </c>
      <c r="F10" s="59"/>
      <c r="G10" s="60" t="s">
        <v>44</v>
      </c>
      <c r="H10" s="61"/>
      <c r="I10" s="62"/>
    </row>
    <row r="11" spans="1:9" ht="81">
      <c r="A11" s="51" t="s">
        <v>89</v>
      </c>
      <c r="B11" s="52" t="s">
        <v>94</v>
      </c>
      <c r="C11" s="52" t="s">
        <v>95</v>
      </c>
      <c r="D11" s="52" t="s">
        <v>96</v>
      </c>
      <c r="E11" s="52" t="s">
        <v>97</v>
      </c>
      <c r="F11" s="53"/>
      <c r="G11" s="54" t="s">
        <v>44</v>
      </c>
      <c r="H11" s="55"/>
      <c r="I11" s="56"/>
    </row>
    <row r="12" spans="1:9" ht="81">
      <c r="A12" s="51" t="s">
        <v>89</v>
      </c>
      <c r="B12" s="52" t="s">
        <v>98</v>
      </c>
      <c r="C12" s="52" t="s">
        <v>99</v>
      </c>
      <c r="D12" s="52" t="s">
        <v>100</v>
      </c>
      <c r="E12" s="52" t="s">
        <v>101</v>
      </c>
      <c r="F12" s="53"/>
      <c r="G12" s="54" t="s">
        <v>44</v>
      </c>
      <c r="H12" s="55"/>
      <c r="I12" s="56"/>
    </row>
    <row r="13" spans="1:9" ht="81">
      <c r="A13" s="51" t="s">
        <v>89</v>
      </c>
      <c r="B13" s="52" t="s">
        <v>102</v>
      </c>
      <c r="C13" s="52" t="s">
        <v>103</v>
      </c>
      <c r="D13" s="52" t="s">
        <v>104</v>
      </c>
      <c r="E13" s="52" t="s">
        <v>105</v>
      </c>
      <c r="F13" s="53"/>
      <c r="G13" s="54" t="s">
        <v>44</v>
      </c>
      <c r="H13" s="55"/>
      <c r="I13" s="56"/>
    </row>
    <row r="14" spans="1:9" ht="81">
      <c r="A14" s="51" t="s">
        <v>89</v>
      </c>
      <c r="B14" s="52" t="s">
        <v>106</v>
      </c>
      <c r="C14" s="52" t="s">
        <v>107</v>
      </c>
      <c r="D14" s="52" t="s">
        <v>108</v>
      </c>
      <c r="E14" s="52" t="s">
        <v>109</v>
      </c>
      <c r="F14" s="53"/>
      <c r="G14" s="54" t="s">
        <v>44</v>
      </c>
      <c r="H14" s="55"/>
      <c r="I14" s="56"/>
    </row>
    <row r="15" spans="1:9" ht="81">
      <c r="A15" s="51" t="s">
        <v>89</v>
      </c>
      <c r="B15" s="52" t="s">
        <v>110</v>
      </c>
      <c r="C15" s="52" t="s">
        <v>111</v>
      </c>
      <c r="D15" s="52" t="s">
        <v>112</v>
      </c>
      <c r="E15" s="52" t="s">
        <v>113</v>
      </c>
      <c r="F15" s="53"/>
      <c r="G15" s="54" t="s">
        <v>44</v>
      </c>
      <c r="H15" s="55"/>
      <c r="I15" s="56"/>
    </row>
    <row r="16" spans="1:9" ht="81">
      <c r="A16" s="51" t="s">
        <v>89</v>
      </c>
      <c r="B16" s="52" t="s">
        <v>114</v>
      </c>
      <c r="C16" s="52" t="s">
        <v>115</v>
      </c>
      <c r="D16" s="52" t="s">
        <v>116</v>
      </c>
      <c r="E16" s="52" t="s">
        <v>117</v>
      </c>
      <c r="F16" s="53"/>
      <c r="G16" s="54" t="s">
        <v>44</v>
      </c>
      <c r="H16" s="55"/>
      <c r="I16" s="56"/>
    </row>
    <row r="17" spans="1:9" ht="108">
      <c r="A17" s="51" t="s">
        <v>89</v>
      </c>
      <c r="B17" s="52" t="s">
        <v>118</v>
      </c>
      <c r="C17" s="52" t="s">
        <v>119</v>
      </c>
      <c r="D17" s="52" t="s">
        <v>120</v>
      </c>
      <c r="E17" s="52" t="s">
        <v>121</v>
      </c>
      <c r="F17" s="53"/>
      <c r="G17" s="54" t="s">
        <v>442</v>
      </c>
      <c r="H17" s="55" t="s">
        <v>457</v>
      </c>
      <c r="I17" s="56"/>
    </row>
    <row r="18" spans="1:9" ht="81">
      <c r="A18" s="51" t="s">
        <v>89</v>
      </c>
      <c r="B18" s="52" t="s">
        <v>122</v>
      </c>
      <c r="C18" s="52" t="s">
        <v>123</v>
      </c>
      <c r="D18" s="52" t="s">
        <v>124</v>
      </c>
      <c r="E18" s="52" t="s">
        <v>125</v>
      </c>
      <c r="F18" s="53"/>
      <c r="G18" s="54" t="s">
        <v>44</v>
      </c>
      <c r="H18" s="55"/>
      <c r="I18" s="56"/>
    </row>
    <row r="19" spans="1:9" ht="108">
      <c r="A19" s="57" t="s">
        <v>126</v>
      </c>
      <c r="B19" s="58" t="s">
        <v>127</v>
      </c>
      <c r="C19" s="58" t="s">
        <v>128</v>
      </c>
      <c r="D19" s="58" t="s">
        <v>129</v>
      </c>
      <c r="E19" s="58" t="s">
        <v>130</v>
      </c>
      <c r="F19" s="59"/>
      <c r="G19" s="60" t="s">
        <v>44</v>
      </c>
      <c r="H19" s="55" t="s">
        <v>458</v>
      </c>
      <c r="I19" s="62"/>
    </row>
    <row r="20" spans="1:9" ht="81">
      <c r="A20" s="51" t="s">
        <v>126</v>
      </c>
      <c r="B20" s="52" t="s">
        <v>131</v>
      </c>
      <c r="C20" s="52" t="s">
        <v>132</v>
      </c>
      <c r="D20" s="52" t="s">
        <v>133</v>
      </c>
      <c r="E20" s="52" t="s">
        <v>134</v>
      </c>
      <c r="F20" s="53"/>
      <c r="G20" s="54" t="s">
        <v>447</v>
      </c>
      <c r="H20" s="55"/>
      <c r="I20" s="56"/>
    </row>
    <row r="21" spans="1:9" ht="81">
      <c r="A21" s="51" t="s">
        <v>126</v>
      </c>
      <c r="B21" s="52" t="s">
        <v>135</v>
      </c>
      <c r="C21" s="52" t="s">
        <v>136</v>
      </c>
      <c r="D21" s="52" t="s">
        <v>137</v>
      </c>
      <c r="E21" s="52" t="s">
        <v>138</v>
      </c>
      <c r="F21" s="53"/>
      <c r="G21" s="54" t="s">
        <v>44</v>
      </c>
      <c r="H21" s="55" t="s">
        <v>459</v>
      </c>
      <c r="I21" s="56"/>
    </row>
    <row r="22" spans="1:9" ht="81">
      <c r="A22" s="51" t="s">
        <v>126</v>
      </c>
      <c r="B22" s="52" t="s">
        <v>139</v>
      </c>
      <c r="C22" s="52" t="s">
        <v>140</v>
      </c>
      <c r="D22" s="52" t="s">
        <v>141</v>
      </c>
      <c r="E22" s="52" t="s">
        <v>142</v>
      </c>
      <c r="F22" s="53"/>
      <c r="G22" s="54" t="s">
        <v>44</v>
      </c>
      <c r="H22" s="55" t="s">
        <v>460</v>
      </c>
      <c r="I22" s="56"/>
    </row>
    <row r="23" spans="1:9" ht="81">
      <c r="A23" s="51" t="s">
        <v>126</v>
      </c>
      <c r="B23" s="52" t="s">
        <v>143</v>
      </c>
      <c r="C23" s="52" t="s">
        <v>144</v>
      </c>
      <c r="D23" s="52" t="s">
        <v>145</v>
      </c>
      <c r="E23" s="52" t="s">
        <v>146</v>
      </c>
      <c r="F23" s="53"/>
      <c r="G23" s="54" t="s">
        <v>442</v>
      </c>
      <c r="H23" s="55" t="s">
        <v>461</v>
      </c>
      <c r="I23" s="56"/>
    </row>
    <row r="24" spans="1:9" ht="81">
      <c r="A24" s="51" t="s">
        <v>126</v>
      </c>
      <c r="B24" s="52" t="s">
        <v>147</v>
      </c>
      <c r="C24" s="52" t="s">
        <v>148</v>
      </c>
      <c r="D24" s="52" t="s">
        <v>149</v>
      </c>
      <c r="E24" s="52" t="s">
        <v>150</v>
      </c>
      <c r="F24" s="53"/>
      <c r="G24" s="54" t="s">
        <v>44</v>
      </c>
      <c r="H24" s="55" t="s">
        <v>462</v>
      </c>
      <c r="I24" s="56"/>
    </row>
    <row r="25" spans="1:9" ht="81">
      <c r="A25" s="51" t="s">
        <v>126</v>
      </c>
      <c r="B25" s="52" t="s">
        <v>151</v>
      </c>
      <c r="C25" s="52" t="s">
        <v>152</v>
      </c>
      <c r="D25" s="52" t="s">
        <v>153</v>
      </c>
      <c r="E25" s="52" t="s">
        <v>154</v>
      </c>
      <c r="F25" s="53"/>
      <c r="G25" s="54" t="s">
        <v>44</v>
      </c>
      <c r="H25" s="55" t="s">
        <v>463</v>
      </c>
      <c r="I25" s="56"/>
    </row>
    <row r="26" spans="1:9" ht="108">
      <c r="A26" s="51" t="s">
        <v>126</v>
      </c>
      <c r="B26" s="52" t="s">
        <v>155</v>
      </c>
      <c r="C26" s="52" t="s">
        <v>156</v>
      </c>
      <c r="D26" s="52" t="s">
        <v>157</v>
      </c>
      <c r="E26" s="52" t="s">
        <v>157</v>
      </c>
      <c r="F26" s="53"/>
      <c r="G26" s="54" t="s">
        <v>444</v>
      </c>
      <c r="H26" s="55"/>
      <c r="I26" s="56"/>
    </row>
    <row r="27" spans="1:9" ht="54">
      <c r="A27" s="51" t="s">
        <v>126</v>
      </c>
      <c r="B27" s="52" t="s">
        <v>158</v>
      </c>
      <c r="C27" s="52" t="s">
        <v>159</v>
      </c>
      <c r="D27" s="52" t="s">
        <v>160</v>
      </c>
      <c r="E27" s="52" t="s">
        <v>161</v>
      </c>
      <c r="F27" s="53"/>
      <c r="G27" s="54" t="s">
        <v>44</v>
      </c>
      <c r="H27" s="55"/>
      <c r="I27" s="56"/>
    </row>
    <row r="28" spans="1:9" ht="81">
      <c r="A28" s="51" t="s">
        <v>126</v>
      </c>
      <c r="B28" s="52" t="s">
        <v>162</v>
      </c>
      <c r="C28" s="52" t="s">
        <v>163</v>
      </c>
      <c r="D28" s="52" t="s">
        <v>164</v>
      </c>
      <c r="E28" s="52" t="s">
        <v>165</v>
      </c>
      <c r="F28" s="53"/>
      <c r="G28" s="54" t="s">
        <v>44</v>
      </c>
      <c r="H28" s="55"/>
      <c r="I28" s="56"/>
    </row>
    <row r="29" spans="1:9" ht="81">
      <c r="A29" s="51" t="s">
        <v>126</v>
      </c>
      <c r="B29" s="52" t="s">
        <v>166</v>
      </c>
      <c r="C29" s="52" t="s">
        <v>167</v>
      </c>
      <c r="D29" s="52" t="s">
        <v>168</v>
      </c>
      <c r="E29" s="52" t="s">
        <v>169</v>
      </c>
      <c r="F29" s="53"/>
      <c r="G29" s="54" t="s">
        <v>44</v>
      </c>
      <c r="H29" s="55"/>
      <c r="I29" s="56"/>
    </row>
    <row r="30" spans="1:9" ht="81">
      <c r="A30" s="51" t="s">
        <v>126</v>
      </c>
      <c r="B30" s="52" t="s">
        <v>170</v>
      </c>
      <c r="C30" s="52" t="s">
        <v>171</v>
      </c>
      <c r="D30" s="52" t="s">
        <v>172</v>
      </c>
      <c r="E30" s="52" t="s">
        <v>173</v>
      </c>
      <c r="F30" s="53"/>
      <c r="G30" s="54" t="s">
        <v>44</v>
      </c>
      <c r="H30" s="55" t="s">
        <v>464</v>
      </c>
      <c r="I30" s="56"/>
    </row>
    <row r="31" spans="1:9" ht="81">
      <c r="A31" s="51" t="s">
        <v>126</v>
      </c>
      <c r="B31" s="52" t="s">
        <v>174</v>
      </c>
      <c r="C31" s="52" t="s">
        <v>175</v>
      </c>
      <c r="D31" s="52" t="s">
        <v>176</v>
      </c>
      <c r="E31" s="52" t="s">
        <v>177</v>
      </c>
      <c r="F31" s="53"/>
      <c r="G31" s="54" t="s">
        <v>44</v>
      </c>
      <c r="H31" s="55"/>
      <c r="I31" s="56"/>
    </row>
    <row r="32" spans="1:9" ht="81">
      <c r="A32" s="51" t="s">
        <v>126</v>
      </c>
      <c r="B32" s="52" t="s">
        <v>178</v>
      </c>
      <c r="C32" s="52" t="s">
        <v>179</v>
      </c>
      <c r="D32" s="52" t="s">
        <v>180</v>
      </c>
      <c r="E32" s="52" t="s">
        <v>181</v>
      </c>
      <c r="F32" s="53"/>
      <c r="G32" s="54" t="s">
        <v>444</v>
      </c>
      <c r="H32" s="55"/>
      <c r="I32" s="56"/>
    </row>
    <row r="33" spans="1:9" ht="81">
      <c r="A33" s="51" t="s">
        <v>126</v>
      </c>
      <c r="B33" s="52" t="s">
        <v>182</v>
      </c>
      <c r="C33" s="52" t="s">
        <v>183</v>
      </c>
      <c r="D33" s="52" t="s">
        <v>184</v>
      </c>
      <c r="E33" s="52" t="s">
        <v>185</v>
      </c>
      <c r="F33" s="53"/>
      <c r="G33" s="54" t="s">
        <v>444</v>
      </c>
      <c r="H33" s="55"/>
      <c r="I33" s="56"/>
    </row>
    <row r="34" spans="1:9" ht="81">
      <c r="A34" s="57" t="s">
        <v>186</v>
      </c>
      <c r="B34" s="58" t="s">
        <v>187</v>
      </c>
      <c r="C34" s="58" t="s">
        <v>188</v>
      </c>
      <c r="D34" s="58" t="s">
        <v>189</v>
      </c>
      <c r="E34" s="58" t="s">
        <v>190</v>
      </c>
      <c r="F34" s="59"/>
      <c r="G34" s="60" t="s">
        <v>442</v>
      </c>
      <c r="H34" s="61"/>
      <c r="I34" s="62"/>
    </row>
    <row r="35" spans="1:9" ht="81">
      <c r="A35" s="51" t="s">
        <v>186</v>
      </c>
      <c r="B35" s="52" t="s">
        <v>191</v>
      </c>
      <c r="C35" s="52" t="s">
        <v>192</v>
      </c>
      <c r="D35" s="52" t="s">
        <v>193</v>
      </c>
      <c r="E35" s="52" t="s">
        <v>194</v>
      </c>
      <c r="F35" s="53"/>
      <c r="G35" s="54" t="s">
        <v>442</v>
      </c>
      <c r="H35" s="55"/>
      <c r="I35" s="56"/>
    </row>
    <row r="36" spans="1:9" ht="81">
      <c r="A36" s="51" t="s">
        <v>186</v>
      </c>
      <c r="B36" s="52" t="s">
        <v>195</v>
      </c>
      <c r="C36" s="52" t="s">
        <v>196</v>
      </c>
      <c r="D36" s="52" t="s">
        <v>197</v>
      </c>
      <c r="E36" s="52" t="s">
        <v>198</v>
      </c>
      <c r="F36" s="53"/>
      <c r="G36" s="54" t="s">
        <v>442</v>
      </c>
      <c r="H36" s="55"/>
      <c r="I36" s="56"/>
    </row>
    <row r="37" spans="1:9" ht="81">
      <c r="A37" s="51" t="s">
        <v>186</v>
      </c>
      <c r="B37" s="52" t="s">
        <v>199</v>
      </c>
      <c r="C37" s="52" t="s">
        <v>200</v>
      </c>
      <c r="D37" s="52" t="s">
        <v>201</v>
      </c>
      <c r="E37" s="52" t="s">
        <v>202</v>
      </c>
      <c r="F37" s="53"/>
      <c r="G37" s="54" t="s">
        <v>442</v>
      </c>
      <c r="H37" s="55"/>
      <c r="I37" s="56"/>
    </row>
    <row r="38" spans="1:9" ht="81">
      <c r="A38" s="51" t="s">
        <v>186</v>
      </c>
      <c r="B38" s="52" t="s">
        <v>203</v>
      </c>
      <c r="C38" s="52" t="s">
        <v>204</v>
      </c>
      <c r="D38" s="52" t="s">
        <v>205</v>
      </c>
      <c r="E38" s="52" t="s">
        <v>206</v>
      </c>
      <c r="F38" s="53"/>
      <c r="G38" s="54" t="s">
        <v>44</v>
      </c>
      <c r="H38" s="55"/>
      <c r="I38" s="56"/>
    </row>
    <row r="39" spans="1:9" ht="81">
      <c r="A39" s="51" t="s">
        <v>186</v>
      </c>
      <c r="B39" s="52" t="s">
        <v>207</v>
      </c>
      <c r="C39" s="52" t="s">
        <v>208</v>
      </c>
      <c r="D39" s="52" t="s">
        <v>209</v>
      </c>
      <c r="E39" s="52" t="s">
        <v>210</v>
      </c>
      <c r="F39" s="53"/>
      <c r="G39" s="54" t="s">
        <v>442</v>
      </c>
      <c r="H39" s="55"/>
      <c r="I39" s="56"/>
    </row>
    <row r="40" spans="1:9" ht="50.5" customHeight="1">
      <c r="A40" s="63" t="s">
        <v>186</v>
      </c>
      <c r="B40" s="52" t="s">
        <v>451</v>
      </c>
      <c r="C40" s="52" t="s">
        <v>452</v>
      </c>
      <c r="D40" s="52" t="s">
        <v>453</v>
      </c>
      <c r="E40" s="52" t="s">
        <v>454</v>
      </c>
      <c r="F40" s="53"/>
      <c r="G40" s="54" t="s">
        <v>444</v>
      </c>
      <c r="H40" s="55"/>
      <c r="I40" s="64"/>
    </row>
    <row r="41" spans="1:9" ht="81">
      <c r="A41" s="57" t="s">
        <v>211</v>
      </c>
      <c r="B41" s="58" t="s">
        <v>212</v>
      </c>
      <c r="C41" s="58" t="s">
        <v>213</v>
      </c>
      <c r="D41" s="58" t="s">
        <v>214</v>
      </c>
      <c r="E41" s="58" t="s">
        <v>215</v>
      </c>
      <c r="F41" s="59"/>
      <c r="G41" s="60" t="s">
        <v>444</v>
      </c>
      <c r="H41" s="61"/>
      <c r="I41" s="62"/>
    </row>
    <row r="42" spans="1:9" ht="81">
      <c r="A42" s="51" t="s">
        <v>211</v>
      </c>
      <c r="B42" s="52" t="s">
        <v>216</v>
      </c>
      <c r="C42" s="52" t="s">
        <v>217</v>
      </c>
      <c r="D42" s="52" t="s">
        <v>218</v>
      </c>
      <c r="E42" s="52" t="s">
        <v>219</v>
      </c>
      <c r="F42" s="53"/>
      <c r="G42" s="54" t="s">
        <v>444</v>
      </c>
      <c r="H42" s="55"/>
      <c r="I42" s="56"/>
    </row>
    <row r="43" spans="1:9" ht="54">
      <c r="A43" s="51" t="s">
        <v>211</v>
      </c>
      <c r="B43" s="52" t="s">
        <v>220</v>
      </c>
      <c r="C43" s="52" t="s">
        <v>221</v>
      </c>
      <c r="D43" s="52" t="s">
        <v>222</v>
      </c>
      <c r="E43" s="52" t="s">
        <v>223</v>
      </c>
      <c r="F43" s="53"/>
      <c r="G43" s="54" t="s">
        <v>44</v>
      </c>
      <c r="H43" s="55"/>
      <c r="I43" s="56"/>
    </row>
    <row r="44" spans="1:9" ht="81">
      <c r="A44" s="51" t="s">
        <v>211</v>
      </c>
      <c r="B44" s="52" t="s">
        <v>224</v>
      </c>
      <c r="C44" s="52" t="s">
        <v>225</v>
      </c>
      <c r="D44" s="52" t="s">
        <v>226</v>
      </c>
      <c r="E44" s="52" t="s">
        <v>227</v>
      </c>
      <c r="F44" s="53"/>
      <c r="G44" s="54" t="s">
        <v>44</v>
      </c>
      <c r="H44" s="55"/>
      <c r="I44" s="56"/>
    </row>
    <row r="45" spans="1:9" ht="81">
      <c r="A45" s="51" t="s">
        <v>211</v>
      </c>
      <c r="B45" s="52" t="s">
        <v>228</v>
      </c>
      <c r="C45" s="52" t="s">
        <v>229</v>
      </c>
      <c r="D45" s="52" t="s">
        <v>230</v>
      </c>
      <c r="E45" s="52" t="s">
        <v>231</v>
      </c>
      <c r="F45" s="53"/>
      <c r="G45" s="54" t="s">
        <v>444</v>
      </c>
      <c r="H45" s="55" t="s">
        <v>465</v>
      </c>
      <c r="I45" s="56"/>
    </row>
    <row r="46" spans="1:9" ht="54">
      <c r="A46" s="51" t="s">
        <v>211</v>
      </c>
      <c r="B46" s="52" t="s">
        <v>232</v>
      </c>
      <c r="C46" s="52" t="s">
        <v>233</v>
      </c>
      <c r="D46" s="52" t="s">
        <v>234</v>
      </c>
      <c r="E46" s="52" t="s">
        <v>235</v>
      </c>
      <c r="F46" s="53"/>
      <c r="G46" s="54" t="s">
        <v>44</v>
      </c>
      <c r="H46" s="55"/>
      <c r="I46" s="56"/>
    </row>
    <row r="47" spans="1:9" ht="81">
      <c r="A47" s="51" t="s">
        <v>211</v>
      </c>
      <c r="B47" s="52" t="s">
        <v>236</v>
      </c>
      <c r="C47" s="52" t="s">
        <v>237</v>
      </c>
      <c r="D47" s="52" t="s">
        <v>238</v>
      </c>
      <c r="E47" s="52" t="s">
        <v>239</v>
      </c>
      <c r="F47" s="53"/>
      <c r="G47" s="54" t="s">
        <v>44</v>
      </c>
      <c r="H47" s="55"/>
      <c r="I47" s="56"/>
    </row>
    <row r="48" spans="1:9" ht="81">
      <c r="A48" s="51" t="s">
        <v>211</v>
      </c>
      <c r="B48" s="52" t="s">
        <v>240</v>
      </c>
      <c r="C48" s="52" t="s">
        <v>241</v>
      </c>
      <c r="D48" s="52" t="s">
        <v>242</v>
      </c>
      <c r="E48" s="52" t="s">
        <v>243</v>
      </c>
      <c r="F48" s="53"/>
      <c r="G48" s="54" t="s">
        <v>447</v>
      </c>
      <c r="H48" s="55" t="s">
        <v>466</v>
      </c>
      <c r="I48" s="56"/>
    </row>
    <row r="49" spans="1:9" ht="81">
      <c r="A49" s="51" t="s">
        <v>211</v>
      </c>
      <c r="B49" s="52" t="s">
        <v>244</v>
      </c>
      <c r="C49" s="52" t="s">
        <v>245</v>
      </c>
      <c r="D49" s="52" t="s">
        <v>246</v>
      </c>
      <c r="E49" s="52" t="s">
        <v>247</v>
      </c>
      <c r="F49" s="53"/>
      <c r="G49" s="54" t="s">
        <v>444</v>
      </c>
      <c r="H49" s="55"/>
      <c r="I49" s="56"/>
    </row>
    <row r="50" spans="1:9" ht="81">
      <c r="A50" s="51" t="s">
        <v>211</v>
      </c>
      <c r="B50" s="52" t="s">
        <v>248</v>
      </c>
      <c r="C50" s="52" t="s">
        <v>249</v>
      </c>
      <c r="D50" s="52" t="s">
        <v>250</v>
      </c>
      <c r="E50" s="52" t="s">
        <v>251</v>
      </c>
      <c r="F50" s="53"/>
      <c r="G50" s="54" t="s">
        <v>444</v>
      </c>
      <c r="H50" s="55"/>
      <c r="I50" s="56"/>
    </row>
    <row r="51" spans="1:9" ht="81">
      <c r="A51" s="51" t="s">
        <v>211</v>
      </c>
      <c r="B51" s="52" t="s">
        <v>252</v>
      </c>
      <c r="C51" s="52" t="s">
        <v>253</v>
      </c>
      <c r="D51" s="52" t="s">
        <v>254</v>
      </c>
      <c r="E51" s="52" t="s">
        <v>255</v>
      </c>
      <c r="F51" s="53"/>
      <c r="G51" s="54" t="s">
        <v>44</v>
      </c>
      <c r="H51" s="55"/>
      <c r="I51" s="56"/>
    </row>
    <row r="52" spans="1:9" ht="81">
      <c r="A52" s="57" t="s">
        <v>256</v>
      </c>
      <c r="B52" s="58" t="s">
        <v>257</v>
      </c>
      <c r="C52" s="58" t="s">
        <v>258</v>
      </c>
      <c r="D52" s="58" t="s">
        <v>259</v>
      </c>
      <c r="E52" s="58" t="s">
        <v>260</v>
      </c>
      <c r="F52" s="59"/>
      <c r="G52" s="60" t="s">
        <v>44</v>
      </c>
      <c r="H52" s="61" t="s">
        <v>467</v>
      </c>
      <c r="I52" s="62"/>
    </row>
    <row r="53" spans="1:9" ht="81">
      <c r="A53" s="51" t="s">
        <v>256</v>
      </c>
      <c r="B53" s="52" t="s">
        <v>261</v>
      </c>
      <c r="C53" s="52" t="s">
        <v>262</v>
      </c>
      <c r="D53" s="52" t="s">
        <v>263</v>
      </c>
      <c r="E53" s="52" t="s">
        <v>264</v>
      </c>
      <c r="F53" s="53"/>
      <c r="G53" s="54"/>
      <c r="H53" s="55"/>
      <c r="I53" s="56"/>
    </row>
    <row r="54" spans="1:9" ht="81">
      <c r="A54" s="51" t="s">
        <v>256</v>
      </c>
      <c r="B54" s="52" t="s">
        <v>265</v>
      </c>
      <c r="C54" s="52" t="s">
        <v>266</v>
      </c>
      <c r="D54" s="52" t="s">
        <v>267</v>
      </c>
      <c r="E54" s="52" t="s">
        <v>268</v>
      </c>
      <c r="F54" s="53"/>
      <c r="G54" s="54" t="s">
        <v>44</v>
      </c>
      <c r="H54" s="55"/>
      <c r="I54" s="56"/>
    </row>
    <row r="55" spans="1:9" ht="54">
      <c r="A55" s="51" t="s">
        <v>256</v>
      </c>
      <c r="B55" s="52" t="s">
        <v>269</v>
      </c>
      <c r="C55" s="52" t="s">
        <v>270</v>
      </c>
      <c r="D55" s="52" t="s">
        <v>271</v>
      </c>
      <c r="E55" s="52" t="s">
        <v>272</v>
      </c>
      <c r="F55" s="53"/>
      <c r="G55" s="54" t="s">
        <v>442</v>
      </c>
      <c r="H55" s="55" t="s">
        <v>468</v>
      </c>
      <c r="I55" s="56"/>
    </row>
    <row r="56" spans="1:9" ht="81">
      <c r="A56" s="51" t="s">
        <v>256</v>
      </c>
      <c r="B56" s="52" t="s">
        <v>273</v>
      </c>
      <c r="C56" s="52" t="s">
        <v>274</v>
      </c>
      <c r="D56" s="52" t="s">
        <v>275</v>
      </c>
      <c r="E56" s="52" t="s">
        <v>276</v>
      </c>
      <c r="F56" s="53"/>
      <c r="G56" s="54" t="s">
        <v>44</v>
      </c>
      <c r="H56" s="55"/>
      <c r="I56" s="56"/>
    </row>
    <row r="57" spans="1:9" ht="81">
      <c r="A57" s="51" t="s">
        <v>256</v>
      </c>
      <c r="B57" s="52" t="s">
        <v>277</v>
      </c>
      <c r="C57" s="52" t="s">
        <v>278</v>
      </c>
      <c r="D57" s="52" t="s">
        <v>279</v>
      </c>
      <c r="E57" s="52" t="s">
        <v>280</v>
      </c>
      <c r="F57" s="53"/>
      <c r="G57" s="54" t="s">
        <v>444</v>
      </c>
      <c r="H57" s="55" t="s">
        <v>469</v>
      </c>
      <c r="I57" s="56"/>
    </row>
    <row r="58" spans="1:9" ht="54">
      <c r="A58" s="51" t="s">
        <v>256</v>
      </c>
      <c r="B58" s="52" t="s">
        <v>281</v>
      </c>
      <c r="C58" s="52" t="s">
        <v>282</v>
      </c>
      <c r="D58" s="52" t="s">
        <v>283</v>
      </c>
      <c r="E58" s="52" t="s">
        <v>284</v>
      </c>
      <c r="F58" s="53"/>
      <c r="G58" s="54" t="s">
        <v>446</v>
      </c>
      <c r="H58" s="55"/>
      <c r="I58" s="56"/>
    </row>
    <row r="59" spans="1:9" ht="81">
      <c r="A59" s="51" t="s">
        <v>256</v>
      </c>
      <c r="B59" s="52" t="s">
        <v>285</v>
      </c>
      <c r="C59" s="52" t="s">
        <v>286</v>
      </c>
      <c r="D59" s="52" t="s">
        <v>287</v>
      </c>
      <c r="E59" s="52" t="s">
        <v>288</v>
      </c>
      <c r="F59" s="53"/>
      <c r="G59" s="54" t="s">
        <v>444</v>
      </c>
      <c r="H59" s="55"/>
      <c r="I59" s="56"/>
    </row>
    <row r="60" spans="1:9" ht="81">
      <c r="A60" s="51" t="s">
        <v>256</v>
      </c>
      <c r="B60" s="52" t="s">
        <v>289</v>
      </c>
      <c r="C60" s="52" t="s">
        <v>290</v>
      </c>
      <c r="D60" s="52" t="s">
        <v>449</v>
      </c>
      <c r="E60" s="52" t="s">
        <v>291</v>
      </c>
      <c r="F60" s="53"/>
      <c r="G60" s="54" t="s">
        <v>444</v>
      </c>
      <c r="H60" s="55"/>
      <c r="I60" s="56"/>
    </row>
    <row r="61" spans="1:9" ht="54">
      <c r="A61" s="51" t="s">
        <v>256</v>
      </c>
      <c r="B61" s="52" t="s">
        <v>292</v>
      </c>
      <c r="C61" s="52" t="s">
        <v>293</v>
      </c>
      <c r="D61" s="52" t="s">
        <v>294</v>
      </c>
      <c r="E61" s="52" t="s">
        <v>295</v>
      </c>
      <c r="F61" s="53"/>
      <c r="G61" s="54" t="s">
        <v>444</v>
      </c>
      <c r="H61" s="55"/>
      <c r="I61" s="56"/>
    </row>
    <row r="62" spans="1:9" ht="81">
      <c r="A62" s="57" t="s">
        <v>296</v>
      </c>
      <c r="B62" s="58" t="s">
        <v>297</v>
      </c>
      <c r="C62" s="58" t="s">
        <v>298</v>
      </c>
      <c r="D62" s="58" t="s">
        <v>299</v>
      </c>
      <c r="E62" s="58" t="s">
        <v>300</v>
      </c>
      <c r="F62" s="59"/>
      <c r="G62" s="60" t="s">
        <v>44</v>
      </c>
      <c r="H62" s="61"/>
      <c r="I62" s="62"/>
    </row>
    <row r="63" spans="1:9" ht="81">
      <c r="A63" s="51" t="s">
        <v>296</v>
      </c>
      <c r="B63" s="52" t="s">
        <v>301</v>
      </c>
      <c r="C63" s="52" t="s">
        <v>302</v>
      </c>
      <c r="D63" s="52" t="s">
        <v>303</v>
      </c>
      <c r="E63" s="52" t="s">
        <v>304</v>
      </c>
      <c r="F63" s="53"/>
      <c r="G63" s="54" t="s">
        <v>44</v>
      </c>
      <c r="H63" s="55"/>
      <c r="I63" s="56"/>
    </row>
    <row r="64" spans="1:9" ht="54">
      <c r="A64" s="51" t="s">
        <v>296</v>
      </c>
      <c r="B64" s="52" t="s">
        <v>305</v>
      </c>
      <c r="C64" s="52" t="s">
        <v>306</v>
      </c>
      <c r="D64" s="52" t="s">
        <v>307</v>
      </c>
      <c r="E64" s="52" t="s">
        <v>308</v>
      </c>
      <c r="F64" s="53"/>
      <c r="G64" s="54" t="s">
        <v>44</v>
      </c>
      <c r="H64" s="55"/>
      <c r="I64" s="56"/>
    </row>
    <row r="65" spans="1:9" ht="54">
      <c r="A65" s="51" t="s">
        <v>296</v>
      </c>
      <c r="B65" s="52" t="s">
        <v>309</v>
      </c>
      <c r="C65" s="52" t="s">
        <v>310</v>
      </c>
      <c r="D65" s="52" t="s">
        <v>311</v>
      </c>
      <c r="E65" s="52" t="s">
        <v>312</v>
      </c>
      <c r="F65" s="53"/>
      <c r="G65" s="54" t="s">
        <v>44</v>
      </c>
      <c r="H65" s="55"/>
      <c r="I65" s="56"/>
    </row>
    <row r="66" spans="1:9" ht="54">
      <c r="A66" s="51" t="s">
        <v>296</v>
      </c>
      <c r="B66" s="52" t="s">
        <v>313</v>
      </c>
      <c r="C66" s="52" t="s">
        <v>314</v>
      </c>
      <c r="D66" s="52" t="s">
        <v>315</v>
      </c>
      <c r="E66" s="52" t="s">
        <v>316</v>
      </c>
      <c r="F66" s="53"/>
      <c r="G66" s="54" t="s">
        <v>442</v>
      </c>
      <c r="H66" s="55"/>
      <c r="I66" s="56"/>
    </row>
    <row r="67" spans="1:9" ht="54">
      <c r="A67" s="51" t="s">
        <v>296</v>
      </c>
      <c r="B67" s="52" t="s">
        <v>317</v>
      </c>
      <c r="C67" s="52" t="s">
        <v>318</v>
      </c>
      <c r="D67" s="52" t="s">
        <v>319</v>
      </c>
      <c r="E67" s="52" t="s">
        <v>320</v>
      </c>
      <c r="F67" s="53"/>
      <c r="G67" s="54" t="s">
        <v>444</v>
      </c>
      <c r="H67" s="55"/>
      <c r="I67" s="56"/>
    </row>
    <row r="68" spans="1:9" ht="54">
      <c r="A68" s="51" t="s">
        <v>296</v>
      </c>
      <c r="B68" s="52" t="s">
        <v>321</v>
      </c>
      <c r="C68" s="52" t="s">
        <v>322</v>
      </c>
      <c r="D68" s="52" t="s">
        <v>323</v>
      </c>
      <c r="E68" s="52" t="s">
        <v>324</v>
      </c>
      <c r="F68" s="53"/>
      <c r="G68" s="54" t="s">
        <v>44</v>
      </c>
      <c r="H68" s="55"/>
      <c r="I68" s="56"/>
    </row>
    <row r="69" spans="1:9" ht="81">
      <c r="A69" s="51" t="s">
        <v>296</v>
      </c>
      <c r="B69" s="52" t="s">
        <v>325</v>
      </c>
      <c r="C69" s="52" t="s">
        <v>326</v>
      </c>
      <c r="D69" s="52" t="s">
        <v>327</v>
      </c>
      <c r="E69" s="52" t="s">
        <v>328</v>
      </c>
      <c r="F69" s="53"/>
      <c r="G69" s="54" t="s">
        <v>44</v>
      </c>
      <c r="H69" s="55"/>
      <c r="I69" s="56"/>
    </row>
    <row r="70" spans="1:9" ht="81">
      <c r="A70" s="51" t="s">
        <v>296</v>
      </c>
      <c r="B70" s="52" t="s">
        <v>329</v>
      </c>
      <c r="C70" s="52" t="s">
        <v>330</v>
      </c>
      <c r="D70" s="52" t="s">
        <v>331</v>
      </c>
      <c r="E70" s="52" t="s">
        <v>332</v>
      </c>
      <c r="F70" s="53"/>
      <c r="G70" s="54" t="s">
        <v>44</v>
      </c>
      <c r="H70" s="55" t="s">
        <v>470</v>
      </c>
      <c r="I70" s="56"/>
    </row>
    <row r="71" spans="1:9" ht="81">
      <c r="A71" s="51" t="s">
        <v>296</v>
      </c>
      <c r="B71" s="52" t="s">
        <v>333</v>
      </c>
      <c r="C71" s="52" t="s">
        <v>334</v>
      </c>
      <c r="D71" s="52" t="s">
        <v>335</v>
      </c>
      <c r="E71" s="52" t="s">
        <v>336</v>
      </c>
      <c r="F71" s="53"/>
      <c r="G71" s="54" t="s">
        <v>44</v>
      </c>
      <c r="H71" s="55"/>
      <c r="I71" s="56"/>
    </row>
    <row r="72" spans="1:9" ht="81">
      <c r="A72" s="51" t="s">
        <v>296</v>
      </c>
      <c r="B72" s="52" t="s">
        <v>337</v>
      </c>
      <c r="C72" s="52" t="s">
        <v>338</v>
      </c>
      <c r="D72" s="52" t="s">
        <v>339</v>
      </c>
      <c r="E72" s="52" t="s">
        <v>340</v>
      </c>
      <c r="F72" s="53"/>
      <c r="G72" s="54" t="s">
        <v>44</v>
      </c>
      <c r="H72" s="55"/>
      <c r="I72" s="56"/>
    </row>
    <row r="73" spans="1:9" ht="81">
      <c r="A73" s="51" t="s">
        <v>296</v>
      </c>
      <c r="B73" s="52" t="s">
        <v>341</v>
      </c>
      <c r="C73" s="52" t="s">
        <v>342</v>
      </c>
      <c r="D73" s="52" t="s">
        <v>343</v>
      </c>
      <c r="E73" s="52" t="s">
        <v>344</v>
      </c>
      <c r="F73" s="53"/>
      <c r="G73" s="54" t="s">
        <v>44</v>
      </c>
      <c r="H73" s="55"/>
      <c r="I73" s="56"/>
    </row>
    <row r="74" spans="1:9" ht="54">
      <c r="A74" s="57" t="s">
        <v>345</v>
      </c>
      <c r="B74" s="58" t="s">
        <v>346</v>
      </c>
      <c r="C74" s="58" t="s">
        <v>347</v>
      </c>
      <c r="D74" s="58" t="s">
        <v>348</v>
      </c>
      <c r="E74" s="58" t="s">
        <v>349</v>
      </c>
      <c r="F74" s="59"/>
      <c r="G74" s="60" t="s">
        <v>442</v>
      </c>
      <c r="H74" s="61"/>
      <c r="I74" s="62"/>
    </row>
    <row r="75" spans="1:9" ht="54">
      <c r="A75" s="51" t="s">
        <v>345</v>
      </c>
      <c r="B75" s="52" t="s">
        <v>350</v>
      </c>
      <c r="C75" s="52" t="s">
        <v>351</v>
      </c>
      <c r="D75" s="52" t="s">
        <v>352</v>
      </c>
      <c r="E75" s="52" t="s">
        <v>353</v>
      </c>
      <c r="F75" s="53"/>
      <c r="G75" s="54" t="s">
        <v>442</v>
      </c>
      <c r="H75" s="55"/>
      <c r="I75" s="56"/>
    </row>
    <row r="76" spans="1:9" ht="54">
      <c r="A76" s="51" t="s">
        <v>345</v>
      </c>
      <c r="B76" s="52" t="s">
        <v>354</v>
      </c>
      <c r="C76" s="52" t="s">
        <v>355</v>
      </c>
      <c r="D76" s="52" t="s">
        <v>356</v>
      </c>
      <c r="E76" s="52" t="s">
        <v>357</v>
      </c>
      <c r="F76" s="53"/>
      <c r="G76" s="54" t="s">
        <v>442</v>
      </c>
      <c r="H76" s="55"/>
      <c r="I76" s="56"/>
    </row>
    <row r="77" spans="1:9" ht="81">
      <c r="A77" s="51" t="s">
        <v>345</v>
      </c>
      <c r="B77" s="52" t="s">
        <v>358</v>
      </c>
      <c r="C77" s="52" t="s">
        <v>359</v>
      </c>
      <c r="D77" s="52" t="s">
        <v>360</v>
      </c>
      <c r="E77" s="52" t="s">
        <v>361</v>
      </c>
      <c r="F77" s="53"/>
      <c r="G77" s="54" t="s">
        <v>442</v>
      </c>
      <c r="H77" s="55"/>
      <c r="I77" s="56"/>
    </row>
    <row r="78" spans="1:9" ht="81">
      <c r="A78" s="51" t="s">
        <v>345</v>
      </c>
      <c r="B78" s="52" t="s">
        <v>362</v>
      </c>
      <c r="C78" s="52" t="s">
        <v>363</v>
      </c>
      <c r="D78" s="52" t="s">
        <v>364</v>
      </c>
      <c r="E78" s="52" t="s">
        <v>365</v>
      </c>
      <c r="F78" s="53"/>
      <c r="G78" s="54" t="s">
        <v>442</v>
      </c>
      <c r="H78" s="55"/>
      <c r="I78" s="56"/>
    </row>
    <row r="79" spans="1:9" ht="54">
      <c r="A79" s="51" t="s">
        <v>345</v>
      </c>
      <c r="B79" s="52" t="s">
        <v>366</v>
      </c>
      <c r="C79" s="52" t="s">
        <v>367</v>
      </c>
      <c r="D79" s="52" t="s">
        <v>368</v>
      </c>
      <c r="E79" s="52" t="s">
        <v>369</v>
      </c>
      <c r="F79" s="53"/>
      <c r="G79" s="54" t="s">
        <v>442</v>
      </c>
      <c r="H79" s="55"/>
      <c r="I79" s="56"/>
    </row>
    <row r="80" spans="1:9" ht="54">
      <c r="A80" s="51" t="s">
        <v>345</v>
      </c>
      <c r="B80" s="52" t="s">
        <v>370</v>
      </c>
      <c r="C80" s="52" t="s">
        <v>371</v>
      </c>
      <c r="D80" s="52" t="s">
        <v>372</v>
      </c>
      <c r="E80" s="52" t="s">
        <v>373</v>
      </c>
      <c r="F80" s="53"/>
      <c r="G80" s="54" t="s">
        <v>44</v>
      </c>
      <c r="H80" s="55" t="s">
        <v>471</v>
      </c>
      <c r="I80" s="56"/>
    </row>
    <row r="81" spans="1:9" ht="108">
      <c r="A81" s="51" t="s">
        <v>345</v>
      </c>
      <c r="B81" s="52" t="s">
        <v>374</v>
      </c>
      <c r="C81" s="52" t="s">
        <v>375</v>
      </c>
      <c r="D81" s="52" t="s">
        <v>376</v>
      </c>
      <c r="E81" s="52" t="s">
        <v>377</v>
      </c>
      <c r="F81" s="53"/>
      <c r="G81" s="54" t="s">
        <v>44</v>
      </c>
      <c r="H81" s="55" t="s">
        <v>471</v>
      </c>
      <c r="I81" s="56"/>
    </row>
    <row r="82" spans="1:9" ht="81">
      <c r="A82" s="51" t="s">
        <v>345</v>
      </c>
      <c r="B82" s="52" t="s">
        <v>378</v>
      </c>
      <c r="C82" s="52" t="s">
        <v>379</v>
      </c>
      <c r="D82" s="52" t="s">
        <v>380</v>
      </c>
      <c r="E82" s="52" t="s">
        <v>381</v>
      </c>
      <c r="F82" s="53"/>
      <c r="G82" s="54" t="s">
        <v>44</v>
      </c>
      <c r="H82" s="55"/>
      <c r="I82" s="56"/>
    </row>
    <row r="83" spans="1:9" ht="54">
      <c r="A83" s="51" t="s">
        <v>345</v>
      </c>
      <c r="B83" s="52" t="s">
        <v>382</v>
      </c>
      <c r="C83" s="52" t="s">
        <v>383</v>
      </c>
      <c r="D83" s="52" t="s">
        <v>384</v>
      </c>
      <c r="E83" s="52" t="s">
        <v>385</v>
      </c>
      <c r="F83" s="53"/>
      <c r="G83" s="54" t="s">
        <v>44</v>
      </c>
      <c r="H83" s="55"/>
      <c r="I83" s="56"/>
    </row>
    <row r="84" spans="1:9" ht="54">
      <c r="A84" s="51" t="s">
        <v>345</v>
      </c>
      <c r="B84" s="52" t="s">
        <v>386</v>
      </c>
      <c r="C84" s="52" t="s">
        <v>387</v>
      </c>
      <c r="D84" s="52" t="s">
        <v>388</v>
      </c>
      <c r="E84" s="52" t="s">
        <v>389</v>
      </c>
      <c r="F84" s="53"/>
      <c r="G84" s="54" t="s">
        <v>44</v>
      </c>
      <c r="H84" s="55" t="s">
        <v>471</v>
      </c>
      <c r="I84" s="56"/>
    </row>
    <row r="85" spans="1:9" ht="81">
      <c r="A85" s="51" t="s">
        <v>345</v>
      </c>
      <c r="B85" s="52" t="s">
        <v>390</v>
      </c>
      <c r="C85" s="52" t="s">
        <v>391</v>
      </c>
      <c r="D85" s="52" t="s">
        <v>392</v>
      </c>
      <c r="E85" s="52" t="s">
        <v>393</v>
      </c>
      <c r="F85" s="53"/>
      <c r="G85" s="54"/>
      <c r="H85" s="55"/>
      <c r="I85" s="56"/>
    </row>
    <row r="86" spans="1:9" ht="81">
      <c r="A86" s="51" t="s">
        <v>345</v>
      </c>
      <c r="B86" s="52" t="s">
        <v>394</v>
      </c>
      <c r="C86" s="52" t="s">
        <v>395</v>
      </c>
      <c r="D86" s="52" t="s">
        <v>396</v>
      </c>
      <c r="E86" s="52" t="s">
        <v>397</v>
      </c>
      <c r="F86" s="53"/>
      <c r="G86" s="54"/>
      <c r="H86" s="55"/>
      <c r="I86" s="56"/>
    </row>
    <row r="87" spans="1:9" ht="81">
      <c r="A87" s="51" t="s">
        <v>345</v>
      </c>
      <c r="B87" s="52" t="s">
        <v>398</v>
      </c>
      <c r="C87" s="52" t="s">
        <v>399</v>
      </c>
      <c r="D87" s="52" t="s">
        <v>400</v>
      </c>
      <c r="E87" s="52" t="s">
        <v>401</v>
      </c>
      <c r="F87" s="53"/>
      <c r="G87" s="54"/>
      <c r="H87" s="55"/>
      <c r="I87" s="56"/>
    </row>
    <row r="88" spans="1:9" ht="81">
      <c r="A88" s="65" t="s">
        <v>345</v>
      </c>
      <c r="B88" s="66" t="s">
        <v>402</v>
      </c>
      <c r="C88" s="66" t="s">
        <v>403</v>
      </c>
      <c r="D88" s="66" t="s">
        <v>404</v>
      </c>
      <c r="E88" s="66" t="s">
        <v>405</v>
      </c>
      <c r="F88" s="67"/>
      <c r="G88" s="68"/>
      <c r="H88" s="69"/>
      <c r="I88" s="70"/>
    </row>
  </sheetData>
  <phoneticPr fontId="8" type="noConversion"/>
  <conditionalFormatting sqref="F2:F88">
    <cfRule type="expression" dxfId="8" priority="1">
      <formula>$F2="P1 - ضروری برای MVP"</formula>
    </cfRule>
    <cfRule type="expression" dxfId="7" priority="2">
      <formula>$F2="P2 - مطلوب / پس از پایلوت"</formula>
    </cfRule>
    <cfRule type="expression" dxfId="6" priority="3">
      <formula>$F2="P3 - آینده"</formula>
    </cfRule>
    <cfRule type="expression" dxfId="5" priority="4">
      <formula>$F2="خارج از Scope فعلی"</formula>
    </cfRule>
  </conditionalFormatting>
  <conditionalFormatting sqref="G2:G88">
    <cfRule type="expression" dxfId="4" priority="5">
      <formula>$G2="موجود در محصول"</formula>
    </cfRule>
    <cfRule type="expression" dxfId="3" priority="6">
      <formula>$G2="نیازمند تنظیم / Configuration"</formula>
    </cfRule>
    <cfRule type="expression" dxfId="2" priority="7">
      <formula>$G2="نیازمند توسعه / Customization"</formula>
    </cfRule>
    <cfRule type="expression" dxfId="1" priority="8">
      <formula>$G2="نیازمند بررسی فنی"</formula>
    </cfRule>
    <cfRule type="expression" dxfId="0" priority="9">
      <formula>$G2="فعلاً خارج از Scope"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Lists!$A$2:$A$5</xm:f>
          </x14:formula1>
          <xm:sqref>F2:F88</xm:sqref>
        </x14:dataValidation>
        <x14:dataValidation type="list" xr:uid="{00000000-0002-0000-0100-000001000000}">
          <x14:formula1>
            <xm:f>Lists!$B$2:$B$6</xm:f>
          </x14:formula1>
          <xm:sqref>G2:G88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rightToLeft="1" workbookViewId="0">
      <selection activeCell="D10" sqref="D10"/>
    </sheetView>
  </sheetViews>
  <sheetFormatPr baseColWidth="10" defaultColWidth="8.83203125" defaultRowHeight="14"/>
  <cols>
    <col min="1" max="1" width="28" style="4" customWidth="1"/>
    <col min="2" max="2" width="56" style="4" customWidth="1"/>
    <col min="3" max="3" width="30" style="4" customWidth="1"/>
    <col min="4" max="4" width="52" style="4" customWidth="1"/>
    <col min="5" max="5" width="24" style="4" customWidth="1"/>
    <col min="6" max="6" width="40" style="4" customWidth="1"/>
    <col min="7" max="16384" width="8.83203125" style="4"/>
  </cols>
  <sheetData>
    <row r="1" spans="1:6" ht="26">
      <c r="A1" s="44" t="s">
        <v>406</v>
      </c>
      <c r="B1" s="44"/>
      <c r="C1" s="44"/>
      <c r="D1" s="44"/>
      <c r="E1" s="44"/>
      <c r="F1" s="44"/>
    </row>
    <row r="3" spans="1:6" ht="17">
      <c r="A3" s="1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2" t="s">
        <v>412</v>
      </c>
    </row>
    <row r="4" spans="1:6" s="9" customFormat="1" ht="34">
      <c r="A4" s="10" t="s">
        <v>413</v>
      </c>
      <c r="B4" s="36" t="s">
        <v>414</v>
      </c>
      <c r="C4" s="36" t="s">
        <v>415</v>
      </c>
      <c r="D4" s="36" t="s">
        <v>450</v>
      </c>
      <c r="E4" s="36"/>
      <c r="F4" s="11"/>
    </row>
    <row r="5" spans="1:6" s="9" customFormat="1" ht="34">
      <c r="A5" s="12" t="s">
        <v>416</v>
      </c>
      <c r="B5" s="37" t="s">
        <v>417</v>
      </c>
      <c r="C5" s="37" t="s">
        <v>418</v>
      </c>
      <c r="D5" s="37" t="s">
        <v>419</v>
      </c>
      <c r="E5" s="37"/>
      <c r="F5" s="13"/>
    </row>
    <row r="6" spans="1:6" s="9" customFormat="1" ht="34">
      <c r="A6" s="12" t="s">
        <v>420</v>
      </c>
      <c r="B6" s="37" t="s">
        <v>421</v>
      </c>
      <c r="C6" s="37" t="s">
        <v>422</v>
      </c>
      <c r="D6" s="37" t="s">
        <v>423</v>
      </c>
      <c r="E6" s="37"/>
      <c r="F6" s="13"/>
    </row>
    <row r="7" spans="1:6" s="9" customFormat="1" ht="34">
      <c r="A7" s="12" t="s">
        <v>424</v>
      </c>
      <c r="B7" s="37" t="s">
        <v>425</v>
      </c>
      <c r="C7" s="37" t="s">
        <v>426</v>
      </c>
      <c r="D7" s="37" t="s">
        <v>427</v>
      </c>
      <c r="E7" s="37"/>
      <c r="F7" s="13"/>
    </row>
    <row r="8" spans="1:6" s="9" customFormat="1" ht="17">
      <c r="A8" s="12" t="s">
        <v>428</v>
      </c>
      <c r="B8" s="37" t="s">
        <v>429</v>
      </c>
      <c r="C8" s="37" t="s">
        <v>430</v>
      </c>
      <c r="D8" s="37" t="s">
        <v>431</v>
      </c>
      <c r="E8" s="37"/>
      <c r="F8" s="13"/>
    </row>
    <row r="9" spans="1:6" s="9" customFormat="1" ht="17">
      <c r="A9" s="12" t="s">
        <v>432</v>
      </c>
      <c r="B9" s="37" t="s">
        <v>433</v>
      </c>
      <c r="C9" s="37" t="s">
        <v>434</v>
      </c>
      <c r="D9" s="37" t="s">
        <v>435</v>
      </c>
      <c r="E9" s="37"/>
      <c r="F9" s="13"/>
    </row>
    <row r="10" spans="1:6" s="9" customFormat="1" ht="17">
      <c r="A10" s="14" t="s">
        <v>436</v>
      </c>
      <c r="B10" s="38" t="s">
        <v>437</v>
      </c>
      <c r="C10" s="38" t="s">
        <v>438</v>
      </c>
      <c r="D10" s="38" t="s">
        <v>439</v>
      </c>
      <c r="E10" s="38"/>
      <c r="F10" s="15"/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Lists!$A$2:$A$5</xm:f>
          </x14:formula1>
          <xm:sqref>E4:E10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rightToLeft="1" workbookViewId="0">
      <selection activeCell="D1" sqref="D1"/>
    </sheetView>
  </sheetViews>
  <sheetFormatPr baseColWidth="10" defaultColWidth="8.83203125" defaultRowHeight="14"/>
  <cols>
    <col min="1" max="1" width="28" style="4" customWidth="1"/>
    <col min="2" max="2" width="34" style="4" customWidth="1"/>
    <col min="3" max="16384" width="8.83203125" style="4"/>
  </cols>
  <sheetData>
    <row r="1" spans="1:4" ht="68">
      <c r="A1" s="1" t="s">
        <v>52</v>
      </c>
      <c r="B1" s="2" t="s">
        <v>53</v>
      </c>
      <c r="D1" s="39" t="s">
        <v>440</v>
      </c>
    </row>
    <row r="2" spans="1:4" ht="17">
      <c r="A2" s="5" t="s">
        <v>43</v>
      </c>
      <c r="B2" s="6" t="s">
        <v>44</v>
      </c>
    </row>
    <row r="3" spans="1:4" ht="17">
      <c r="A3" s="5" t="s">
        <v>441</v>
      </c>
      <c r="B3" s="6" t="s">
        <v>442</v>
      </c>
    </row>
    <row r="4" spans="1:4" ht="17">
      <c r="A4" s="5" t="s">
        <v>443</v>
      </c>
      <c r="B4" s="6" t="s">
        <v>444</v>
      </c>
    </row>
    <row r="5" spans="1:4" ht="17">
      <c r="A5" s="5" t="s">
        <v>445</v>
      </c>
      <c r="B5" s="6" t="s">
        <v>446</v>
      </c>
    </row>
    <row r="6" spans="1:4" ht="17">
      <c r="A6" s="7"/>
      <c r="B6" s="8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راهنما و تصمیمات</vt:lpstr>
      <vt:lpstr>Fit-Gap MVP</vt:lpstr>
      <vt:lpstr>Backlog بعدی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CapsLock</cp:lastModifiedBy>
  <dcterms:modified xsi:type="dcterms:W3CDTF">2026-09-22T09:31:40Z</dcterms:modified>
</cp:coreProperties>
</file>