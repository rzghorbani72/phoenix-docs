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sheets>
    <sheet name="راهنما" sheetId="1" r:id="rId1"/>
    <sheet name="ردیف‌ها" sheetId="2" r:id="rId2"/>
    <sheet name="خلاصه" sheetId="3" r:id="rId3"/>
    <sheet name="یافته‌های بحرانی" sheetId="4" r:id="rId4"/>
    <sheet name="معماری" sheetId="5" r:id="rId5"/>
  </sheets>
</workbook>
</file>

<file path=xl/styles.xml><?xml version="1.0" encoding="utf-8"?>
<styleSheet xmlns="http://schemas.openxmlformats.org/spreadsheetml/2006/main">
  <fonts count="7">
    <font>
      <sz val="10"/>
      <name val="Arial"/>
    </font>
    <font>
      <b/>
      <sz val="10"/>
      <color rgb="FFFFFFFF"/>
      <name val="Arial"/>
    </font>
    <font>
      <b/>
      <sz val="14"/>
      <color rgb="FF1F3864"/>
      <name val="Arial"/>
    </font>
    <font>
      <sz val="8"/>
      <color rgb="FF444444"/>
      <name val="Consolas"/>
    </font>
    <font>
      <i/>
      <sz val="9"/>
      <color rgb="FF666666"/>
      <name val="Arial"/>
    </font>
    <font>
      <b/>
      <sz val="10"/>
      <color rgb="FF1F3864"/>
      <name val="Arial"/>
    </font>
    <font>
      <b/>
      <sz val="10"/>
      <color rgb="FFC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EEAF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1" xfId="0" applyBorder="1" applyAlignment="1">
      <alignment vertical="top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0" fontId="0" fillId="3" borderId="1" xfId="0" applyFill="1" applyBorder="1" applyAlignment="1">
      <alignment vertical="top" wrapText="1" readingOrder="2"/>
    </xf>
    <xf numFmtId="0" fontId="6" fillId="4" borderId="1" xfId="0" applyFont="1" applyFill="1" applyBorder="1" applyAlignment="1">
      <alignment vertical="top" wrapText="1" readingOrder="2"/>
    </xf>
    <xf numFmtId="0" fontId="0" fillId="5" borderId="1" xfId="0" applyFill="1" applyBorder="1" applyAlignment="1">
      <alignment vertical="top" wrapText="1" readingOrder="2"/>
    </xf>
    <xf numFmtId="0" fontId="0" fillId="6" borderId="1" xfId="0" applyFill="1" applyBorder="1" applyAlignment="1">
      <alignment vertical="top" wrapText="1" readingOrder="2"/>
    </xf>
    <xf numFmtId="0" fontId="0" fillId="7" borderId="1" xfId="0" applyFill="1" applyBorder="1" applyAlignment="1">
      <alignment vertical="top" wrapText="1" readingOrder="2"/>
    </xf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2"/>
    </xf>
    <xf numFmtId="0" fontId="0" fillId="0" borderId="1" xfId="0" applyBorder="1" applyAlignment="1">
      <alignment horizontal="center" vertical="center" readingOrder="2"/>
    </xf>
    <xf numFmtId="0" fontId="5" fillId="6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Views>
    <sheetView workbookViewId="0" rightToLeft="1"/>
  </sheetViews>
  <sheetFormatPr defaultRowHeight="15"/>
  <cols>
    <col min="1" max="1" width="34" customWidth="1"/>
    <col min="2" max="2" width="96" customWidth="1"/>
  </cols>
  <sheetData>
    <row r="1" ht="26" customHeight="1">
      <c r="A1" s="2" t="inlineStr">
        <is>
          <t xml:space="preserve">راهنمای استفاده از این فایل</t>
        </is>
      </c>
      <c r="B1" s="2"/>
    </row>
    <row r="2">
      <c r="A2" s="0"/>
      <c r="B2" s="0"/>
    </row>
    <row r="3">
      <c r="A3" s="11" t="inlineStr">
        <is>
          <t xml:space="preserve">موضوع</t>
        </is>
      </c>
      <c r="B3" s="0" t="inlineStr">
        <is>
          <t xml:space="preserve">توافق Fit-Gap پایلوت صدای کارکنان (EX) — MCINEXT × اداره تجربه کارکنان همراه اول</t>
        </is>
      </c>
    </row>
    <row r="4">
      <c r="A4" s="11" t="inlineStr">
        <is>
          <t xml:space="preserve">تعداد نیازمندی</t>
        </is>
      </c>
      <c r="B4" s="0" t="inlineStr">
        <is>
          <t xml:space="preserve">۸۷ ردیف در ۸ بلوک</t>
        </is>
      </c>
    </row>
    <row r="5">
      <c r="A5" s="11" t="inlineStr">
        <is>
          <t xml:space="preserve">مبنای ستون «وضعیت تأییدشده»</t>
        </is>
      </c>
      <c r="B5" s="0" t="inlineStr">
        <is>
          <t xml:space="preserve">خوانش مستقیم کد مخزن phoenix — فقط پروژه‌های پایتونِ فعال در ۳ ماه گذشته</t>
        </is>
      </c>
    </row>
    <row r="6">
      <c r="A6" s="11" t="inlineStr">
        <is>
          <t xml:space="preserve">تاریخ بررسی کد</t>
        </is>
      </c>
      <c r="B6" s="0" t="inlineStr">
        <is>
          <t xml:space="preserve">۱۴۰۵/۰۷/۰۶ — معادل 2026-09-28</t>
        </is>
      </c>
    </row>
    <row r="7">
      <c r="A7" s="11" t="inlineStr">
        <is>
          <t xml:space="preserve">دامنه بررسی</t>
        </is>
      </c>
      <c r="B7" s="0" t="inlineStr">
        <is>
          <t xml:space="preserve">coa-api, aiva, adcs, aqa, chatbot-iva-agent, agentlib, adcs-auth, adcs-knowledgebase, aiva-knowledgebase, fastlib</t>
        </is>
      </c>
    </row>
    <row r="8">
      <c r="A8" s="11" t="inlineStr">
        <is>
          <t xml:space="preserve">خارج از دامنه</t>
        </is>
      </c>
      <c r="B8" s="0" t="inlineStr">
        <is>
          <t xml:space="preserve">python/coa-ai — موتور تحلیل احساسات/خلاصه/موضوع. آخرین کامیت 2025-07-13 (۱۴ ماه فریز)</t>
        </is>
      </c>
    </row>
    <row r="9">
      <c r="A9" s="0"/>
      <c r="B9" s="0"/>
    </row>
    <row r="10">
      <c r="A10" s="11" t="inlineStr">
        <is>
          <t xml:space="preserve">ستون‌هایی که شما پر می‌کنید</t>
        </is>
      </c>
      <c r="B10" s="0" t="inlineStr">
        <is>
          <t xml:space="preserve">«اولویت EX» را EX پر می‌کند. «ددلاین نهایی» را شما بر اساس ستون «ددلاین پیشنهادی» تثبیت می‌کنید.</t>
        </is>
      </c>
    </row>
    <row r="11">
      <c r="A11" s="11" t="inlineStr">
        <is>
          <t xml:space="preserve">قاعده ددلاین</t>
        </is>
      </c>
      <c r="B11" s="0" t="inlineStr">
        <is>
          <t xml:space="preserve">هیچ تاریخ تقویمی ننویسید. بنویسید «T + n روز کاری از دریافت [ورودی مشخص]». مبنای این قاعده معیار پذیرش خودِ ردیف TEC-14 است.</t>
        </is>
      </c>
    </row>
    <row r="12">
      <c r="A12" s="0"/>
      <c r="B12" s="0"/>
    </row>
    <row r="13">
      <c r="A13" s="11" t="inlineStr">
        <is>
          <t xml:space="preserve">معنای رنگ‌ها</t>
        </is>
      </c>
      <c r="B13" s="11"/>
    </row>
    <row r="14">
      <c r="A14" s="3" t="inlineStr">
        <is>
          <t xml:space="preserve">سبز — تأییدشده</t>
        </is>
      </c>
      <c r="B14" s="0" t="inlineStr">
        <is>
          <t xml:space="preserve">در کد پیدا شد و کار می‌کند. قابل دفاع در UAT.</t>
        </is>
      </c>
    </row>
    <row r="15">
      <c r="A15" s="5" t="inlineStr">
        <is>
          <t xml:space="preserve">زرد — جزئی</t>
        </is>
      </c>
      <c r="B15" s="0" t="inlineStr">
        <is>
          <t xml:space="preserve">بخشی پیاده شده. بدون توضیح، در UAT رد می‌شود.</t>
        </is>
      </c>
    </row>
    <row r="16">
      <c r="A16" s="4" t="inlineStr">
        <is>
          <t xml:space="preserve">قرمز — رد شد</t>
        </is>
      </c>
      <c r="B16" s="0" t="inlineStr">
        <is>
          <t xml:space="preserve">ادعای توافق با کد نمی‌خواند. پیش از جلسه اصلاح کنید.</t>
        </is>
      </c>
    </row>
    <row r="17">
      <c r="A17" s="6" t="inlineStr">
        <is>
          <t xml:space="preserve">طوسی — غایب</t>
        </is>
      </c>
      <c r="B17" s="0" t="inlineStr">
        <is>
          <t xml:space="preserve">هیچ کدی وجود ندارد. توسعه واقعی لازم است.</t>
        </is>
      </c>
    </row>
    <row r="18">
      <c r="A18" s="7" t="inlineStr">
        <is>
          <t xml:space="preserve">آبی — خالی</t>
        </is>
      </c>
      <c r="B18" s="0" t="inlineStr">
        <is>
          <t xml:space="preserve">ستون در توافق خالی مانده و باید پر شود.</t>
        </is>
      </c>
    </row>
    <row r="19">
      <c r="A19" s="0" t="inlineStr">
        <is>
          <t xml:space="preserve">بدون رنگ — تنظیم/زیرساخت</t>
        </is>
      </c>
      <c r="B19" s="0" t="inlineStr">
        <is>
          <t xml:space="preserve">کد لازم نیست؛ Configuration یا فرایند است.</t>
        </is>
      </c>
    </row>
    <row r="20">
      <c r="A20" s="0"/>
      <c r="B20" s="0"/>
    </row>
    <row r="21">
      <c r="A21" s="11" t="inlineStr">
        <is>
          <t xml:space="preserve">نمونه سطر پرشده</t>
        </is>
      </c>
      <c r="B21" s="0" t="inlineStr">
        <is>
          <t xml:space="preserve">مثال: PRV-03 | ادعا: موجود در محصول | تأییدشده: رد شد | شاهد: coa/apps/files/views.py:19 | ددلاین: پیش از UAT، T+3 روز کاری</t>
        </is>
      </c>
    </row>
  </sheetData>
  <pageMargins left="0.3" right="0.3" top="0.4" bottom="0.4" header="0.2" footer="0.2"/>
</worksheet>
</file>

<file path=xl/worksheets/sheet2.xml><?xml version="1.0" encoding="utf-8"?>
<worksheet xmlns="http://schemas.openxmlformats.org/spreadsheetml/2006/main">
  <sheetViews>
    <sheetView workbookViewId="0" rightToLeft="1">
      <pane xSplit="0" ySplit="1" topLeftCell="A2" activePane="bottomRight" state="frozen"/>
    </sheetView>
  </sheetViews>
  <sheetFormatPr defaultRowHeight="15"/>
  <cols>
    <col min="1" max="1" width="22" customWidth="1"/>
    <col min="2" max="2" width="9" customWidth="1"/>
    <col min="3" max="3" width="26" customWidth="1"/>
    <col min="4" max="4" width="52" customWidth="1"/>
    <col min="5" max="5" width="46" customWidth="1"/>
    <col min="6" max="6" width="10" customWidth="1"/>
    <col min="7" max="7" width="20" customWidth="1"/>
    <col min="8" max="8" width="22" customWidth="1"/>
    <col min="9" max="9" width="46" customWidth="1"/>
    <col min="10" max="10" width="9" customWidth="1"/>
    <col min="11" max="11" width="16" customWidth="1"/>
    <col min="12" max="12" width="30" customWidth="1"/>
    <col min="13" max="13" width="52" customWidth="1"/>
    <col min="14" max="14" width="40" customWidth="1"/>
    <col min="15" max="15" width="16" customWidth="1"/>
  </cols>
  <sheetData>
    <row r="1" ht="44" customHeight="1">
      <c r="A1" s="1" t="inlineStr">
        <is>
          <t xml:space="preserve">بلوک</t>
        </is>
      </c>
      <c r="B1" s="1" t="inlineStr">
        <is>
          <t xml:space="preserve">ID</t>
        </is>
      </c>
      <c r="C1" s="1" t="inlineStr">
        <is>
          <t xml:space="preserve">نیازمندی</t>
        </is>
      </c>
      <c r="D1" s="1" t="inlineStr">
        <is>
          <t xml:space="preserve">شرح نیاز / رفتار مورد انتظار</t>
        </is>
      </c>
      <c r="E1" s="1" t="inlineStr">
        <is>
          <t xml:space="preserve">سناریو یا معیار پذیرش</t>
        </is>
      </c>
      <c r="F1" s="1" t="inlineStr">
        <is>
          <t xml:space="preserve">اولویت EX</t>
        </is>
      </c>
      <c r="G1" s="1" t="inlineStr">
        <is>
          <t xml:space="preserve">وضعیت اعلامی MCINEXT</t>
        </is>
      </c>
      <c r="H1" s="1" t="inlineStr">
        <is>
          <t xml:space="preserve">وضعیت تأییدشده با کد</t>
        </is>
      </c>
      <c r="I1" s="1" t="inlineStr">
        <is>
          <t xml:space="preserve">شاهد در کد (file:line)</t>
        </is>
      </c>
      <c r="J1" s="1" t="inlineStr">
        <is>
          <t xml:space="preserve">اطمینان</t>
        </is>
      </c>
      <c r="K1" s="1" t="inlineStr">
        <is>
          <t xml:space="preserve">مالک وابستگی</t>
        </is>
      </c>
      <c r="L1" s="1" t="inlineStr">
        <is>
          <t xml:space="preserve">ددلاین پیشنهادی</t>
        </is>
      </c>
      <c r="M1" s="1" t="inlineStr">
        <is>
          <t xml:space="preserve">اقدام لازم / ریسک</t>
        </is>
      </c>
      <c r="N1" s="1" t="inlineStr">
        <is>
          <t xml:space="preserve">توضیحات فنی توافق</t>
        </is>
      </c>
      <c r="O1" s="1" t="inlineStr">
        <is>
          <t xml:space="preserve">ددلاین نهایی</t>
        </is>
      </c>
    </row>
    <row r="2">
      <c r="A2" s="0" t="inlineStr">
        <is>
          <t xml:space="preserve">1. Voice Intake &amp; Access</t>
        </is>
      </c>
      <c r="B2" s="10" t="inlineStr">
        <is>
          <t xml:space="preserve">VIA-01</t>
        </is>
      </c>
      <c r="C2" s="0" t="inlineStr">
        <is>
          <t xml:space="preserve">سرشماره / کانال صوتی Inbound</t>
        </is>
      </c>
      <c r="D2" s="0" t="inlineStr">
        <is>
          <t xml:space="preserve">یک کانال صوتی مشخص برای EX ایجاد شود تا کارکنان Whitelist‌شده بتوانند مستقیماً با AI تماس بگیرند. کانال باید مستقل از محیط عمومی Contact Center قابل استفاده و قابل ردیابی باشد.</t>
        </is>
      </c>
      <c r="E2" s="0" t="inlineStr">
        <is>
          <t xml:space="preserve">شماره پایلوت از یک شماره مجاز تماس می‌گیرد و بدون اپراتور انسانی وارد مکالمه AI می‌شود.</t>
        </is>
      </c>
      <c r="F2" s="7"/>
      <c r="G2" s="0" t="inlineStr">
        <is>
          <t xml:space="preserve">نیازمند تنظیم / Configuration</t>
        </is>
      </c>
      <c r="H2" s="0" t="inlineStr">
        <is>
          <t xml:space="preserve">تنظیم / زیرساخت</t>
        </is>
      </c>
      <c r="I2" s="8" t="inlineStr">
        <is>
          <t xml:space="preserve">chatbot-iva-agent/src/config.py (AGENT_SIP_*, AGENT_ORIGINAL_CALL_ID_FALLBACK); src/entrypoint.py</t>
        </is>
      </c>
      <c r="J2" s="10" t="inlineStr">
        <is>
          <t xml:space="preserve">قطعی</t>
        </is>
      </c>
      <c r="K2" s="0" t="inlineStr">
        <is>
          <t xml:space="preserve">MCINEXT + MCI-IT</t>
        </is>
      </c>
      <c r="L2" s="0" t="inlineStr">
        <is>
          <t xml:space="preserve">T+5 روز کاری پس از تخصیص سرشماره و Virtual IP</t>
        </is>
      </c>
      <c r="M2" s="0" t="inlineStr">
        <is>
          <t xml:space="preserve">مسیر SIP و هدرهای x-originalcallid/city_code پیاده‌سازی شده؛ فقط تخصیص سرشماره و اتصال Kamailio باقی است</t>
        </is>
      </c>
      <c r="N2" s="9"/>
      <c r="O2" s="7"/>
    </row>
    <row r="3">
      <c r="A3" s="0" t="inlineStr">
        <is>
          <t xml:space="preserve">1. Voice Intake &amp; Access</t>
        </is>
      </c>
      <c r="B3" s="10" t="inlineStr">
        <is>
          <t xml:space="preserve">VIA-02</t>
        </is>
      </c>
      <c r="C3" s="0" t="inlineStr">
        <is>
          <t xml:space="preserve">Whitelist کارکنان MCI</t>
        </is>
      </c>
      <c r="D3" s="0" t="inlineStr">
        <is>
          <t xml:space="preserve">فقط شماره‌های متعلق به کارکنان با قرارداد MCI که در دیتاست تأییدشده قرار دارند اجازه ورود به سرویس پایلوت را داشته باشند.</t>
        </is>
      </c>
      <c r="E3" s="0" t="inlineStr">
        <is>
          <t xml:space="preserve">تماس شماره داخل Whitelist وارد سرویس می‌شود؛ شماره خارج از Whitelist وارد Flow اصلی نمی‌شود.</t>
        </is>
      </c>
      <c r="F3" s="7"/>
      <c r="G3" s="0" t="inlineStr">
        <is>
          <t xml:space="preserve">نیازمند تنظیم / Configuration</t>
        </is>
      </c>
      <c r="H3" s="5" t="inlineStr">
        <is>
          <t xml:space="preserve">جزئی</t>
        </is>
      </c>
      <c r="I3" s="8" t="inlineStr">
        <is>
          <t xml:space="preserve">aiva/memory/config.py:20-21 (PHONE_WHITELIST=[], BYPASS_WHITELIST=True); aiva_consume_kafka.py:310</t>
        </is>
      </c>
      <c r="J3" s="10" t="inlineStr">
        <is>
          <t xml:space="preserve">قطعی</t>
        </is>
      </c>
      <c r="K3" s="0" t="inlineStr">
        <is>
          <t xml:space="preserve">MCINEXT</t>
        </is>
      </c>
      <c r="L3" s="0" t="inlineStr">
        <is>
          <t xml:space="preserve">T+7 روز کاری پس از دریافت دیتاست شماره‌ها از EX</t>
        </is>
      </c>
      <c r="M3" s="5" t="inlineStr">
        <is>
          <t xml:space="preserve">⚠️ Whitelist موجود فقط «جمع‌آوری memory» را گیت می‌کند، نه «ورود تماس». گیت پذیرش تماس باید در لایه SIP اضافه شود. ضمناً BYPASS_WHITELIST پیش‌فرض True است</t>
        </is>
      </c>
      <c r="N3" s="9"/>
      <c r="O3" s="7"/>
    </row>
    <row r="4">
      <c r="A4" s="0" t="inlineStr">
        <is>
          <t xml:space="preserve">1. Voice Intake &amp; Access</t>
        </is>
      </c>
      <c r="B4" s="10" t="inlineStr">
        <is>
          <t xml:space="preserve">VIA-03</t>
        </is>
      </c>
      <c r="C4" s="0" t="inlineStr">
        <is>
          <t xml:space="preserve">رفتار برای شماره خارج از Whitelist</t>
        </is>
      </c>
      <c r="D4" s="0" t="inlineStr">
        <is>
          <t xml:space="preserve">برای شماره غیرمجاز رفتار شفاف و کنترل‌شده تعریف شود؛ مانند پیام کوتاه عدم دسترسی، بدون افشای اطلاعات داخلی یا ایجاد رکورد تحلیلی اشتباه.</t>
        </is>
      </c>
      <c r="E4" s="0" t="inlineStr">
        <is>
          <t xml:space="preserve">یک شماره غیرمجاز تست شود و پیام صحیح دریافت کند؛ تماس به‌عنوان Voice کارکنان ثبت نشود.</t>
        </is>
      </c>
      <c r="F4" s="7"/>
      <c r="G4" s="0" t="inlineStr">
        <is>
          <t xml:space="preserve">نیازمند بررسی فنی</t>
        </is>
      </c>
      <c r="H4" s="6" t="inlineStr">
        <is>
          <t xml:space="preserve">غایب</t>
        </is>
      </c>
      <c r="I4" s="8" t="inlineStr">
        <is>
          <t xml:space="preserve">جست‌وجو در ۸ سرویس: هیچ مسیر رد تماس غیرمجاز یافت نشد</t>
        </is>
      </c>
      <c r="J4" s="10" t="inlineStr">
        <is>
          <t xml:space="preserve">قطعی</t>
        </is>
      </c>
      <c r="K4" s="0" t="inlineStr">
        <is>
          <t xml:space="preserve">MCINEXT</t>
        </is>
      </c>
      <c r="L4" s="0" t="inlineStr">
        <is>
          <t xml:space="preserve">T+5 روز کاری پس از تعریف پیام توسط EX</t>
        </is>
      </c>
      <c r="M4" s="6" t="inlineStr">
        <is>
          <t xml:space="preserve">نیاز به پیام کوتاه و مسیر قطع در لایه SIP/Agent، بدون ایجاد رکورد تحلیلی</t>
        </is>
      </c>
      <c r="N4" s="9"/>
      <c r="O4" s="7"/>
    </row>
    <row r="5">
      <c r="A5" s="0" t="inlineStr">
        <is>
          <t xml:space="preserve">1. Voice Intake &amp; Access</t>
        </is>
      </c>
      <c r="B5" s="10" t="inlineStr">
        <is>
          <t xml:space="preserve">VIA-04</t>
        </is>
      </c>
      <c r="C5" s="0" t="inlineStr">
        <is>
          <t xml:space="preserve">دریافت شماره تماس به‌عنوان کلید Mapping</t>
        </is>
      </c>
      <c r="D5" s="0" t="inlineStr">
        <is>
          <t xml:space="preserve">شماره تماس صرفاً برای شناسایی رکورد کارمند و اتصال Context سازمانی دریافت شود؛ شماره نباید به‌صورت پیش‌فرض در Dashboard تحلیلی دیده شود.</t>
        </is>
      </c>
      <c r="E5" s="0" t="inlineStr">
        <is>
          <t xml:space="preserve">شماره کارمند به رکورد صحیح Mapping می‌شود ولی در View تحلیلی نام/شماره نمایش داده نمی‌شود.</t>
        </is>
      </c>
      <c r="F5" s="7"/>
      <c r="G5" s="0" t="inlineStr">
        <is>
          <t xml:space="preserve">نیازمند توسعه / Customization</t>
        </is>
      </c>
      <c r="H5" s="5" t="inlineStr">
        <is>
          <t xml:space="preserve">جزئی</t>
        </is>
      </c>
      <c r="I5" s="8" t="inlineStr">
        <is>
          <t xml:space="preserve">chatbot-iva-agent/src/schema.py (phone_number); coa/apps/main/models.py:381 (user_num)</t>
        </is>
      </c>
      <c r="J5" s="10" t="inlineStr">
        <is>
          <t xml:space="preserve">قطعی</t>
        </is>
      </c>
      <c r="K5" s="0" t="inlineStr">
        <is>
          <t xml:space="preserve">MCINEXT</t>
        </is>
      </c>
      <c r="L5" s="0" t="inlineStr">
        <is>
          <t xml:space="preserve">T+10 روز کاری پس از تصمیم سیاست هویت</t>
        </is>
      </c>
      <c r="M5" s="5" t="inlineStr">
        <is>
          <t xml:space="preserve">شماره هم در payload کافکا و هم در DB به‌صورت plaintext ذخیره می‌شود؛ پنهان‌سازی در Serializer/View نیازمند توسعه است</t>
        </is>
      </c>
      <c r="N5" s="9"/>
      <c r="O5" s="7"/>
    </row>
    <row r="6">
      <c r="A6" s="0" t="inlineStr">
        <is>
          <t xml:space="preserve">1. Voice Intake &amp; Access</t>
        </is>
      </c>
      <c r="B6" s="10" t="inlineStr">
        <is>
          <t xml:space="preserve">VIA-05</t>
        </is>
      </c>
      <c r="C6" s="0" t="inlineStr">
        <is>
          <t xml:space="preserve">Mapping شماره به اطلاعات سازمانی</t>
        </is>
      </c>
      <c r="D6" s="0" t="inlineStr">
        <is>
          <t xml:space="preserve">سیستم بتواند از طریق دیتاست مورد تأیید، شماره را به اطلاعات لازم سازمانی مانند معاونت، اداره کل و اداره متصل کند.</t>
        </is>
      </c>
      <c r="E6" s="0" t="inlineStr">
        <is>
          <t xml:space="preserve">یک تماس آزمایشی در تحلیل با Segment سازمانی صحیح نمایش داده شود.</t>
        </is>
      </c>
      <c r="F6" s="7"/>
      <c r="G6" s="0" t="inlineStr">
        <is>
          <t xml:space="preserve">نیازمند توسعه / Customization</t>
        </is>
      </c>
      <c r="H6" s="6" t="inlineStr">
        <is>
          <t xml:space="preserve">غایب</t>
        </is>
      </c>
      <c r="I6" s="8" t="inlineStr">
        <is>
          <t xml:space="preserve">هیچ جدول Mapping شماره→ساختار سازمانی یافت نشد</t>
        </is>
      </c>
      <c r="J6" s="10" t="inlineStr">
        <is>
          <t xml:space="preserve">قطعی</t>
        </is>
      </c>
      <c r="K6" s="0" t="inlineStr">
        <is>
          <t xml:space="preserve">مشترک (دیتاست از EX)</t>
        </is>
      </c>
      <c r="L6" s="0" t="inlineStr">
        <is>
          <t xml:space="preserve">T+10 روز کاری پس از دریافت دیتاست سازمانی</t>
        </is>
      </c>
      <c r="M6" s="6" t="inlineStr">
        <is>
          <t xml:space="preserve">نیاز به مدل داده Mapping (معاونت/اداره کل/اداره) + سرویس Lookup</t>
        </is>
      </c>
      <c r="N6" s="9"/>
      <c r="O6" s="7"/>
    </row>
    <row r="7">
      <c r="A7" s="0" t="inlineStr">
        <is>
          <t xml:space="preserve">1. Voice Intake &amp; Access</t>
        </is>
      </c>
      <c r="B7" s="10" t="inlineStr">
        <is>
          <t xml:space="preserve">VIA-06</t>
        </is>
      </c>
      <c r="C7" s="0" t="inlineStr">
        <is>
          <t xml:space="preserve">ثبت Metadata تماس</t>
        </is>
      </c>
      <c r="D7" s="0" t="inlineStr">
        <is>
          <t xml:space="preserve">برای هر تماس شناسه یکتا، تاریخ و ساعت، مدت تماس و وضعیت تکمیل/قطع تماس ثبت شود تا تحلیل و Audit ممکن باشد.</t>
        </is>
      </c>
      <c r="E7" s="0" t="inlineStr">
        <is>
          <t xml:space="preserve">هر تماس یک Conversation ID یکتا و Metadata کامل قابل مشاهده در Backend داشته باشد.</t>
        </is>
      </c>
      <c r="F7" s="7"/>
      <c r="G7" s="0" t="inlineStr">
        <is>
          <t xml:space="preserve">نیازمند توسعه / Customization</t>
        </is>
      </c>
      <c r="H7" s="5" t="inlineStr">
        <is>
          <t xml:space="preserve">جزئی</t>
        </is>
      </c>
      <c r="I7" s="8" t="inlineStr">
        <is>
          <t xml:space="preserve">chatbot-iva-agent/src/schema.py (session_id, call_id, original_call_id, session_duration, agent_prewarmed/started/ended_time); coa/apps/main/models.py:166</t>
        </is>
      </c>
      <c r="J7" s="10" t="inlineStr">
        <is>
          <t xml:space="preserve">قطعی</t>
        </is>
      </c>
      <c r="K7" s="0" t="inlineStr">
        <is>
          <t xml:space="preserve">MCINEXT</t>
        </is>
      </c>
      <c r="L7" s="0" t="inlineStr">
        <is>
          <t xml:space="preserve">T+5 روز کاری (تگ تکمیل/قطع: پس از تعریف EX)</t>
        </is>
      </c>
      <c r="M7" s="5" t="inlineStr">
        <is>
          <t xml:space="preserve">شناسه یکتا، زمان و مدت کامل موجود است؛ فقط تگ Incomplete/Complete باقی مانده — بخش عمده این ردیف «موجود» است</t>
        </is>
      </c>
      <c r="N7" s="9" t="inlineStr">
        <is>
          <t xml:space="preserve">برخی موارد مانند شناسه یکتا و تاریخ و ساعت از قبل در سامانه موجود است ولی وضعیت تکمیل یا قطع تماس نیازمند ارائه تعریف مشخص و واضح جهت ایجاد تگ می‌باشد که در فاز فعلی اولویت ندارد. همچنین جستجو روی Metadata نیازمند ارائه نمونه و توسعه از سمت تیم MCINEXT است.</t>
        </is>
      </c>
      <c r="O7" s="7"/>
    </row>
    <row r="8">
      <c r="A8" s="0" t="inlineStr">
        <is>
          <t xml:space="preserve">1. Voice Intake &amp; Access</t>
        </is>
      </c>
      <c r="B8" s="10" t="inlineStr">
        <is>
          <t xml:space="preserve">VIA-07</t>
        </is>
      </c>
      <c r="C8" s="0" t="inlineStr">
        <is>
          <t xml:space="preserve">مدیریت تماس قطع‌شده یا ناقص</t>
        </is>
      </c>
      <c r="D8" s="0" t="inlineStr">
        <is>
          <t xml:space="preserve">اگر تماس قبل از پایان قطع شد، سیستم آن را Incomplete علامت بزند و فقط بخش واقعاً دریافت‌شده را ذخیره کند؛ AI نباید اطلاعات نگفته را تکمیل یا حدس بزند.</t>
        </is>
      </c>
      <c r="E8" s="0" t="inlineStr">
        <is>
          <t xml:space="preserve">تماس عمداً قطع شود؛ رکورد Incomplete ایجاد شود و Summary ساختگی تولید نشود.</t>
        </is>
      </c>
      <c r="F8" s="7"/>
      <c r="G8" s="0" t="inlineStr">
        <is>
          <t xml:space="preserve">نیازمند بررسی فنی</t>
        </is>
      </c>
      <c r="H8" s="6" t="inlineStr">
        <is>
          <t xml:space="preserve">غایب</t>
        </is>
      </c>
      <c r="I8" s="8" t="inlineStr">
        <is>
          <t xml:space="preserve">هیچ گارد min_duration/min_turns پیش از خلاصه‌سازی یافت نشد</t>
        </is>
      </c>
      <c r="J8" s="10" t="inlineStr">
        <is>
          <t xml:space="preserve">قطعی</t>
        </is>
      </c>
      <c r="K8" s="0" t="inlineStr">
        <is>
          <t xml:space="preserve">MCINEXT</t>
        </is>
      </c>
      <c r="L8" s="0" t="inlineStr">
        <is>
          <t xml:space="preserve">گارد: T+3 روز کاری | تگ Incomplete: پس از تعریف EX</t>
        </is>
      </c>
      <c r="M8" s="6" t="inlineStr">
        <is>
          <t xml:space="preserve">⚠️ Red Flag: احتمال تولید Summary از تماس قطع‌شده. گارد حداقل مدت/نوبت را همین فاز اضافه کنید حتی اگر تگ به تأخیر بیفتد</t>
        </is>
      </c>
      <c r="N8" s="9" t="inlineStr">
        <is>
          <t xml:space="preserve">وضعیت تکمیل یا قطع تماس نیازمند ارائه تعریف مشخص و واضح جهت ایجاد تگ می‌باشد که در فاز فعلی اولویت ندارد.</t>
        </is>
      </c>
      <c r="O8" s="7"/>
    </row>
    <row r="9">
      <c r="A9" s="0" t="inlineStr">
        <is>
          <t xml:space="preserve">1. Voice Intake &amp; Access</t>
        </is>
      </c>
      <c r="B9" s="10" t="inlineStr">
        <is>
          <t xml:space="preserve">VIA-08</t>
        </is>
      </c>
      <c r="C9" s="0" t="inlineStr">
        <is>
          <t xml:space="preserve">پایداری و کیفیت سرویس صوتی</t>
        </is>
      </c>
      <c r="D9" s="0" t="inlineStr">
        <is>
          <t xml:space="preserve">کانال در محدوده ظرفیت Pilot باید کیفیت و پایداری کافی داشته باشد و خطاهای اتصال، قطع تماس یا Failure ثبت شوند.</t>
        </is>
      </c>
      <c r="E9" s="0" t="inlineStr">
        <is>
          <t xml:space="preserve">چند تماس متوالی و هم‌زمان Pilot بدون از دست‌رفتن رکورد اجرا شوند و Error Log در دسترس تیم فنی باشد.</t>
        </is>
      </c>
      <c r="F9" s="7"/>
      <c r="G9" s="0" t="inlineStr">
        <is>
          <t xml:space="preserve">موجود در محصول</t>
        </is>
      </c>
      <c r="H9" s="3" t="inlineStr">
        <is>
          <t xml:space="preserve">تأییدشده</t>
        </is>
      </c>
      <c r="I9" s="8" t="inlineStr">
        <is>
          <t xml:space="preserve">chatbot-iva-agent/src/config.py (AGENT_MAX_UNRECOVERABLE_ERRORS, STT/LLM/TTS retry+timeout); src/utils/prometheus_metrics.py; src/utils/apm.py</t>
        </is>
      </c>
      <c r="J9" s="10" t="inlineStr">
        <is>
          <t xml:space="preserve">قطعی</t>
        </is>
      </c>
      <c r="K9" s="0" t="inlineStr">
        <is>
          <t xml:space="preserve">MCINEXT</t>
        </is>
      </c>
      <c r="L9" s="0" t="inlineStr">
        <is>
          <t xml:space="preserve">—</t>
        </is>
      </c>
      <c r="M9" s="3" t="inlineStr">
        <is>
          <t xml:space="preserve">Retry، timeout، Prometheus و Elastic APM کامل است. ظرفیت هم‌زمانی پایلوت باید با Load Test تثبیت شود</t>
        </is>
      </c>
      <c r="N9" s="9"/>
      <c r="O9" s="7"/>
    </row>
    <row r="10">
      <c r="A10" s="0" t="inlineStr">
        <is>
          <t xml:space="preserve">2. Conversation Experience</t>
        </is>
      </c>
      <c r="B10" s="10" t="inlineStr">
        <is>
          <t xml:space="preserve">CON-01</t>
        </is>
      </c>
      <c r="C10" s="0" t="inlineStr">
        <is>
          <t xml:space="preserve">معرفی کوتاه AI و هدف کانال</t>
        </is>
      </c>
      <c r="D10" s="0" t="inlineStr">
        <is>
          <t xml:space="preserve">در ابتدای تماس AI به‌صورت کوتاه و شفاف خود را معرفی کند و بگوید کانال برای شنیدن تجربه، مسئله، پیشنهاد و سؤال کارکنان است.</t>
        </is>
      </c>
      <c r="E10" s="0" t="inlineStr">
        <is>
          <t xml:space="preserve">Intro کوتاه، قابل فهم و بدون متن حقوقی طولانی اجرا شود.</t>
        </is>
      </c>
      <c r="F10" s="7"/>
      <c r="G10" s="0" t="inlineStr">
        <is>
          <t xml:space="preserve">موجود در محصول</t>
        </is>
      </c>
      <c r="H10" s="3" t="inlineStr">
        <is>
          <t xml:space="preserve">تأییدشده</t>
        </is>
      </c>
      <c r="I10" s="8" t="inlineStr">
        <is>
          <t xml:space="preserve">chatbot-iva-agent/src/config.py (AGENT_GREETING_MESSAGE, AGENT_GREETING_ALLOW_INTERRUPTION)</t>
        </is>
      </c>
      <c r="J10" s="10" t="inlineStr">
        <is>
          <t xml:space="preserve">قطعی</t>
        </is>
      </c>
      <c r="K10" s="0" t="inlineStr">
        <is>
          <t xml:space="preserve">EX (متن)</t>
        </is>
      </c>
      <c r="L10" s="0" t="inlineStr">
        <is>
          <t xml:space="preserve">T+1 روز کاری پس از تأیید متن</t>
        </is>
      </c>
      <c r="M10" s="3" t="inlineStr">
        <is>
          <t xml:space="preserve">متن معرفی کاملاً قابل تنظیم است</t>
        </is>
      </c>
      <c r="N10" s="9"/>
      <c r="O10" s="7"/>
    </row>
    <row r="11">
      <c r="A11" s="0" t="inlineStr">
        <is>
          <t xml:space="preserve">2. Conversation Experience</t>
        </is>
      </c>
      <c r="B11" s="10" t="inlineStr">
        <is>
          <t xml:space="preserve">CON-02</t>
        </is>
      </c>
      <c r="C11" s="0" t="inlineStr">
        <is>
          <t xml:space="preserve">Privacy Notice کوتاه</t>
        </is>
      </c>
      <c r="D11" s="0" t="inlineStr">
        <is>
          <t xml:space="preserve">در ابتدای تعامل، نحوه کلی استفاده از مکالمه و اینکه داده برای تحلیل تجربه کارکنان استفاده می‌شود به کارمند اعلام شود.</t>
        </is>
      </c>
      <c r="E11" s="0" t="inlineStr">
        <is>
          <t xml:space="preserve">کاربر قبل از بیان محتوای اصلی، Notice تأییدشده EX را می‌شنود.</t>
        </is>
      </c>
      <c r="F11" s="7"/>
      <c r="G11" s="0" t="inlineStr">
        <is>
          <t xml:space="preserve">موجود در محصول</t>
        </is>
      </c>
      <c r="H11" s="0" t="inlineStr">
        <is>
          <t xml:space="preserve">تنظیم</t>
        </is>
      </c>
      <c r="I11" s="8" t="inlineStr">
        <is>
          <t xml:space="preserve">همان AGENT_GREETING_MESSAGE</t>
        </is>
      </c>
      <c r="J11" s="10" t="inlineStr">
        <is>
          <t xml:space="preserve">قطعی</t>
        </is>
      </c>
      <c r="K11" s="0" t="inlineStr">
        <is>
          <t xml:space="preserve">EX</t>
        </is>
      </c>
      <c r="L11" s="0" t="inlineStr">
        <is>
          <t xml:space="preserve">T+1 روز کاری پس از تأیید متن Notice</t>
        </is>
      </c>
      <c r="M11" s="0" t="inlineStr">
        <is>
          <t xml:space="preserve">فقط متن؛ هیچ کد جدیدی لازم نیست</t>
        </is>
      </c>
      <c r="N11" s="9"/>
      <c r="O11" s="7"/>
    </row>
    <row r="12">
      <c r="A12" s="0" t="inlineStr">
        <is>
          <t xml:space="preserve">2. Conversation Experience</t>
        </is>
      </c>
      <c r="B12" s="10" t="inlineStr">
        <is>
          <t xml:space="preserve">CON-03</t>
        </is>
      </c>
      <c r="C12" s="0" t="inlineStr">
        <is>
          <t xml:space="preserve">شروع Open-ended</t>
        </is>
      </c>
      <c r="D12" s="0" t="inlineStr">
        <is>
          <t xml:space="preserve">مکالمه با یک سؤال باز آغاز شود و کارمند مجبور به انتخاب منو یا طبقه‌بندی Voice خود نباشد.</t>
        </is>
      </c>
      <c r="E12" s="0" t="inlineStr">
        <is>
          <t xml:space="preserve">کارمند بتواند هر موضوعی را با زبان طبیعی مطرح کند بدون اینکه ابتدا Category انتخاب کند.</t>
        </is>
      </c>
      <c r="F12" s="7"/>
      <c r="G12" s="0" t="inlineStr">
        <is>
          <t xml:space="preserve">موجود در محصول</t>
        </is>
      </c>
      <c r="H12" s="3" t="inlineStr">
        <is>
          <t xml:space="preserve">تأییدشده</t>
        </is>
      </c>
      <c r="I12" s="8" t="inlineStr">
        <is>
          <t xml:space="preserve">aiva/prompts/greeting.py; aiva/prompts/react.py</t>
        </is>
      </c>
      <c r="J12" s="10" t="inlineStr">
        <is>
          <t xml:space="preserve">قطعی</t>
        </is>
      </c>
      <c r="K12" s="0" t="inlineStr">
        <is>
          <t xml:space="preserve">—</t>
        </is>
      </c>
      <c r="L12" s="0" t="inlineStr">
        <is>
          <t xml:space="preserve">—</t>
        </is>
      </c>
      <c r="M12" s="3" t="inlineStr">
        <is>
          <t xml:space="preserve">شروع آزاد و بدون منو</t>
        </is>
      </c>
      <c r="N12" s="9"/>
      <c r="O12" s="7"/>
    </row>
    <row r="13">
      <c r="A13" s="0" t="inlineStr">
        <is>
          <t xml:space="preserve">2. Conversation Experience</t>
        </is>
      </c>
      <c r="B13" s="10" t="inlineStr">
        <is>
          <t xml:space="preserve">CON-04</t>
        </is>
      </c>
      <c r="C13" s="0" t="inlineStr">
        <is>
          <t xml:space="preserve">Follow-up هوشمند در صورت ابهام</t>
        </is>
      </c>
      <c r="D13" s="0" t="inlineStr">
        <is>
          <t xml:space="preserve">AI فقط زمانی سؤال تکمیلی بپرسد که برای فهم موضوع Gap واقعی وجود دارد؛ سؤال باید Neutral، مرتبط و مبتنی بر صحبت قبلی فرد باشد.</t>
        </is>
      </c>
      <c r="E13" s="0" t="inlineStr">
        <is>
          <t xml:space="preserve">برای جمله مبهم «فرایند ارزیابی خوب نیست» AI سؤال روشن‌کننده مرتبط بپرسد.</t>
        </is>
      </c>
      <c r="F13" s="7"/>
      <c r="G13" s="0" t="inlineStr">
        <is>
          <t xml:space="preserve">موجود در محصول</t>
        </is>
      </c>
      <c r="H13" s="3" t="inlineStr">
        <is>
          <t xml:space="preserve">تأییدشده</t>
        </is>
      </c>
      <c r="I13" s="8" t="inlineStr">
        <is>
          <t xml:space="preserve">aiva/chat/handlers/clarifying.py; aiva/chat/handlers/classification.py; aiva/prompts/clarifying_chitchat.py</t>
        </is>
      </c>
      <c r="J13" s="10" t="inlineStr">
        <is>
          <t xml:space="preserve">قطعی</t>
        </is>
      </c>
      <c r="K13" s="0" t="inlineStr">
        <is>
          <t xml:space="preserve">—</t>
        </is>
      </c>
      <c r="L13" s="0" t="inlineStr">
        <is>
          <t xml:space="preserve">—</t>
        </is>
      </c>
      <c r="M13" s="3" t="inlineStr">
        <is>
          <t xml:space="preserve">شاخه clarifying با classifier مستقل؛ معماری در docs/RequestFlow.md</t>
        </is>
      </c>
      <c r="N13" s="9"/>
      <c r="O13" s="7"/>
    </row>
    <row r="14">
      <c r="A14" s="0" t="inlineStr">
        <is>
          <t xml:space="preserve">2. Conversation Experience</t>
        </is>
      </c>
      <c r="B14" s="10" t="inlineStr">
        <is>
          <t xml:space="preserve">CON-05</t>
        </is>
      </c>
      <c r="C14" s="0" t="inlineStr">
        <is>
          <t xml:space="preserve">عدم تکرار سؤال</t>
        </is>
      </c>
      <c r="D14" s="0" t="inlineStr">
        <is>
          <t xml:space="preserve">AI اطلاعاتی را که کارمند قبلاً در همان Conversation گفته دوباره سؤال نکند و Context مکالمه را حفظ کند.</t>
        </is>
      </c>
      <c r="E14" s="0" t="inlineStr">
        <is>
          <t xml:space="preserve">در سناریوی UAT، اطلاعات گفته‌شده مجدداً درخواست نشود.</t>
        </is>
      </c>
      <c r="F14" s="7"/>
      <c r="G14" s="0" t="inlineStr">
        <is>
          <t xml:space="preserve">موجود در محصول</t>
        </is>
      </c>
      <c r="H14" s="3" t="inlineStr">
        <is>
          <t xml:space="preserve">تأییدشده</t>
        </is>
      </c>
      <c r="I14" s="8" t="inlineStr">
        <is>
          <t xml:space="preserve">aiva/chat/config.py (CHAT_HISTORY_LIMIT=50); docs/RequestFlow.md (ChatContext مشترک)</t>
        </is>
      </c>
      <c r="J14" s="10" t="inlineStr">
        <is>
          <t xml:space="preserve">قطعی</t>
        </is>
      </c>
      <c r="K14" s="0" t="inlineStr">
        <is>
          <t xml:space="preserve">—</t>
        </is>
      </c>
      <c r="L14" s="0" t="inlineStr">
        <is>
          <t xml:space="preserve">—</t>
        </is>
      </c>
      <c r="M14" s="3" t="inlineStr">
        <is>
          <t xml:space="preserve">حفظ Context در طول Conversation ⚠️ AIVA علاوه بر Context تماس، Long-term Memory بین تماس‌ها برای هر شماره می‌سازد (aiva/memory، ChatbotUser.memory) — باید در Notice اعلام یا برای EX خاموش شود.</t>
        </is>
      </c>
      <c r="N14" s="9"/>
      <c r="O14" s="7"/>
    </row>
    <row r="15">
      <c r="A15" s="0" t="inlineStr">
        <is>
          <t xml:space="preserve">2. Conversation Experience</t>
        </is>
      </c>
      <c r="B15" s="10" t="inlineStr">
        <is>
          <t xml:space="preserve">CON-06</t>
        </is>
      </c>
      <c r="C15" s="0" t="inlineStr">
        <is>
          <t xml:space="preserve">محدودیت Follow-up</t>
        </is>
      </c>
      <c r="D15" s="0" t="inlineStr">
        <is>
          <t xml:space="preserve">مکالمه نباید به مصاحبه طولانی یا بازجویی تبدیل شود. تعداد/منطق Follow-up قابل کنترل باشد و پس از فهم کافی مکالمه جمع‌بندی شود.</t>
        </is>
      </c>
      <c r="E15" s="0" t="inlineStr">
        <is>
          <t xml:space="preserve">برای Conversation عادی، تعداد Follow-up از سقف توافق‌شده در UAT عبور نکند.</t>
        </is>
      </c>
      <c r="F15" s="7"/>
      <c r="G15" s="0" t="inlineStr">
        <is>
          <t xml:space="preserve">موجود در محصول</t>
        </is>
      </c>
      <c r="H15" s="5" t="inlineStr">
        <is>
          <t xml:space="preserve">جزئی</t>
        </is>
      </c>
      <c r="I15" s="8" t="inlineStr">
        <is>
          <t xml:space="preserve">aiva/chat/config.py (REACT_MAX_ITERS=10, AGENT_MAX_HISTORY_TURNS=6)</t>
        </is>
      </c>
      <c r="J15" s="10" t="inlineStr">
        <is>
          <t xml:space="preserve">قطعی</t>
        </is>
      </c>
      <c r="K15" s="0" t="inlineStr">
        <is>
          <t xml:space="preserve">MCINEXT</t>
        </is>
      </c>
      <c r="L15" s="0" t="inlineStr">
        <is>
          <t xml:space="preserve">T+3 روز کاری</t>
        </is>
      </c>
      <c r="M15" s="5" t="inlineStr">
        <is>
          <t xml:space="preserve">سقف حلقه ابزار و تاریخچه موجود است اما «سقف تعداد Follow-up» به‌عنوان پارامتر مستقل وجود ندارد</t>
        </is>
      </c>
      <c r="N15" s="9"/>
      <c r="O15" s="7"/>
    </row>
    <row r="16">
      <c r="A16" s="0" t="inlineStr">
        <is>
          <t xml:space="preserve">2. Conversation Experience</t>
        </is>
      </c>
      <c r="B16" s="10" t="inlineStr">
        <is>
          <t xml:space="preserve">CON-07</t>
        </is>
      </c>
      <c r="C16" s="0" t="inlineStr">
        <is>
          <t xml:space="preserve">تشخیص Voice کامل و عدم سؤال اضافه</t>
        </is>
      </c>
      <c r="D16" s="0" t="inlineStr">
        <is>
          <t xml:space="preserve">اگر کارمند از ابتدا موضوع، زمان/زمینه و اثر مسئله را روشن توضیح داده، AI فقط به‌دلیل قابلیت مکالمه سؤال اضافه نپرسد.</t>
        </is>
      </c>
      <c r="E16" s="0" t="inlineStr">
        <is>
          <t xml:space="preserve">سناریوی کامل تست شود و Unnecessary Follow-up رخ ندهد.</t>
        </is>
      </c>
      <c r="F16" s="7"/>
      <c r="G16" s="0" t="inlineStr">
        <is>
          <t xml:space="preserve">موجود در محصول</t>
        </is>
      </c>
      <c r="H16" s="3" t="inlineStr">
        <is>
          <t xml:space="preserve">تأییدشده</t>
        </is>
      </c>
      <c r="I16" s="8" t="inlineStr">
        <is>
          <t xml:space="preserve">aiva/prompts/classification.py:88; aiva/prompts/clarifying_chitchat.py:48</t>
        </is>
      </c>
      <c r="J16" s="10" t="inlineStr">
        <is>
          <t xml:space="preserve">قطعی</t>
        </is>
      </c>
      <c r="K16" s="0" t="inlineStr">
        <is>
          <t xml:space="preserve">—</t>
        </is>
      </c>
      <c r="L16" s="0" t="inlineStr">
        <is>
          <t xml:space="preserve">—</t>
        </is>
      </c>
      <c r="M16" s="3" t="inlineStr">
        <is>
          <t xml:space="preserve">تشخیص Voice کامل در Prompt طبقه‌بندی لحاظ شده</t>
        </is>
      </c>
      <c r="N16" s="9"/>
      <c r="O16" s="7"/>
    </row>
    <row r="17">
      <c r="A17" s="0" t="inlineStr">
        <is>
          <t xml:space="preserve">2. Conversation Experience</t>
        </is>
      </c>
      <c r="B17" s="10" t="inlineStr">
        <is>
          <t xml:space="preserve">CON-08</t>
        </is>
      </c>
      <c r="C17" s="0" t="inlineStr">
        <is>
          <t xml:space="preserve">Summary Confirmation در صورت امکان</t>
        </is>
      </c>
      <c r="D17" s="0" t="inlineStr">
        <is>
          <t xml:space="preserve">در صورت پشتیبانی محصول، AI بتواند قبل از پایان برداشت کوتاه خود را بازگو کند تا فرد آن را تأیید یا اصلاح کند.</t>
        </is>
      </c>
      <c r="E17" s="0" t="inlineStr">
        <is>
          <t xml:space="preserve">کاربر بتواند Summary را تأیید یا یک نکته مهم را اصلاح کند.</t>
        </is>
      </c>
      <c r="F17" s="7"/>
      <c r="G17" s="0" t="inlineStr">
        <is>
          <t xml:space="preserve">نیازمند تنظیم / Configuration</t>
        </is>
      </c>
      <c r="H17" s="6" t="inlineStr">
        <is>
          <t xml:space="preserve">غایب</t>
        </is>
      </c>
      <c r="I17" s="8" t="inlineStr">
        <is>
          <t xml:space="preserve">—</t>
        </is>
      </c>
      <c r="J17" s="10" t="inlineStr">
        <is>
          <t xml:space="preserve">قطعی</t>
        </is>
      </c>
      <c r="K17" s="0" t="inlineStr">
        <is>
          <t xml:space="preserve">EX (بازتعریف)</t>
        </is>
      </c>
      <c r="L17" s="0" t="inlineStr">
        <is>
          <t xml:space="preserve">معلق تا بازتعریف EX</t>
        </is>
      </c>
      <c r="M17" s="6" t="inlineStr">
        <is>
          <t xml:space="preserve">خود توافق این ردیف را «نیازمند بازبینی» دانسته؛ تعهد ندهید</t>
        </is>
      </c>
      <c r="N17" s="9" t="inlineStr">
        <is>
          <t xml:space="preserve">این مورد به دلیل عدم خوش تعریفی و عدم امکان تعریف روش صحیح سوال پرسیدن در حین تماس، احتیاج به بازبینی دارد.</t>
        </is>
      </c>
      <c r="O17" s="7"/>
    </row>
    <row r="18">
      <c r="A18" s="0" t="inlineStr">
        <is>
          <t xml:space="preserve">2. Conversation Experience</t>
        </is>
      </c>
      <c r="B18" s="10" t="inlineStr">
        <is>
          <t xml:space="preserve">CON-09</t>
        </is>
      </c>
      <c r="C18" s="0" t="inlineStr">
        <is>
          <t xml:space="preserve">پایان شفاف بدون وعده پیگیری فردی</t>
        </is>
      </c>
      <c r="D18" s="0" t="inlineStr">
        <is>
          <t xml:space="preserve">Closing Message دریافت Voice را تأیید کند، اما چون MVP برای رسیدگی فردی طراحی نشده، SLA یا وعده پاسخ شخصی ایجاد نکند.</t>
        </is>
      </c>
      <c r="E18" s="0" t="inlineStr">
        <is>
          <t xml:space="preserve">هیچ عبارت «ظرف X ساعت پیگیری می‌شود» یا وعده خارج از Scope شنیده نشود.</t>
        </is>
      </c>
      <c r="F18" s="7"/>
      <c r="G18" s="0" t="inlineStr">
        <is>
          <t xml:space="preserve">موجود در محصول</t>
        </is>
      </c>
      <c r="H18" s="3" t="inlineStr">
        <is>
          <t xml:space="preserve">تأییدشده</t>
        </is>
      </c>
      <c r="I18" s="8" t="inlineStr">
        <is>
          <t xml:space="preserve">aiva/chat/config.py (TOOL_CALLING_EXIT_ANSWER, exit_tool); INTENT_AGENT_ENABLED_TOOLS</t>
        </is>
      </c>
      <c r="J18" s="10" t="inlineStr">
        <is>
          <t xml:space="preserve">قطعی</t>
        </is>
      </c>
      <c r="K18" s="0" t="inlineStr">
        <is>
          <t xml:space="preserve">—</t>
        </is>
      </c>
      <c r="L18" s="0" t="inlineStr">
        <is>
          <t xml:space="preserve">—</t>
        </is>
      </c>
      <c r="M18" s="3" t="inlineStr">
        <is>
          <t xml:space="preserve">پایان شفاف بدون وعده SLA</t>
        </is>
      </c>
      <c r="N18" s="9"/>
      <c r="O18" s="7"/>
    </row>
    <row r="19">
      <c r="A19" s="0" t="inlineStr">
        <is>
          <t xml:space="preserve">3. AI Analysis</t>
        </is>
      </c>
      <c r="B19" s="10" t="inlineStr">
        <is>
          <t xml:space="preserve">AI-01</t>
        </is>
      </c>
      <c r="C19" s="0" t="inlineStr">
        <is>
          <t xml:space="preserve">Speech-to-Text فارسی</t>
        </is>
      </c>
      <c r="D19" s="0" t="inlineStr">
        <is>
          <t xml:space="preserve">مکالمه فارسی با کیفیت قابل قبول به متن تبدیل شود و کیفیت آن روی نوع بیان واقعی کارکنان، نه فقط نمونه‌های استودیویی، سنجیده شود.</t>
        </is>
      </c>
      <c r="E19" s="0" t="inlineStr">
        <is>
          <t xml:space="preserve">مجموعه سناریوهای UAT با لهجه/سرعت طبیعی اجرا و خطاهای STT ثبت شوند.</t>
        </is>
      </c>
      <c r="F19" s="7"/>
      <c r="G19" s="0" t="inlineStr">
        <is>
          <t xml:space="preserve">موجود در محصول</t>
        </is>
      </c>
      <c r="H19" s="3" t="inlineStr">
        <is>
          <t xml:space="preserve">تأییدشده</t>
        </is>
      </c>
      <c r="I19" s="8" t="inlineStr">
        <is>
          <t xml:space="preserve">chatbot-iva-agent/src/utils/stt.py + AGENT_STT_MODEL/BASE_URL; adcs POST /api/v1/chat/asr</t>
        </is>
      </c>
      <c r="J19" s="10" t="inlineStr">
        <is>
          <t xml:space="preserve">قطعی</t>
        </is>
      </c>
      <c r="K19" s="0" t="inlineStr">
        <is>
          <t xml:space="preserve">MCINEXT</t>
        </is>
      </c>
      <c r="L19" s="0" t="inlineStr">
        <is>
          <t xml:space="preserve">—</t>
        </is>
      </c>
      <c r="M19" s="3" t="inlineStr">
        <is>
          <t xml:space="preserve">⚠️ پیاده‌سازی شده اما WER هرگز اندازه‌گیری نشده. «موجود» یعنی implemented نه measured</t>
        </is>
      </c>
      <c r="N19" s="9" t="inlineStr">
        <is>
          <t xml:space="preserve">این بخش جزئی از کل یک سرویس می‌باشد و بهبود کیفیت بر عهده تیم MCINEXT است و نیازی به بررسی تک تک مکالمات از سوی EX نمی‌باشد.</t>
        </is>
      </c>
      <c r="O19" s="7"/>
    </row>
    <row r="20">
      <c r="A20" s="0" t="inlineStr">
        <is>
          <t xml:space="preserve">3. AI Analysis</t>
        </is>
      </c>
      <c r="B20" s="10" t="inlineStr">
        <is>
          <t xml:space="preserve">AI-02</t>
        </is>
      </c>
      <c r="C20" s="0" t="inlineStr">
        <is>
          <t xml:space="preserve">Transcript کامل مکالمه</t>
        </is>
      </c>
      <c r="D20" s="0" t="inlineStr">
        <is>
          <t xml:space="preserve">متن Conversation به شکلی قابل بازیابی برای کاربران مجاز ذخیره شود و ارتباط آن با Conversation ID حفظ شود.</t>
        </is>
      </c>
      <c r="E20" s="0" t="inlineStr">
        <is>
          <t xml:space="preserve">Transcript هر تماس تکمیل‌شده در Backend موجود و به تماس صحیح متصل باشد.</t>
        </is>
      </c>
      <c r="F20" s="7"/>
      <c r="G20" s="0" t="inlineStr">
        <is>
          <t xml:space="preserve">فعلاً خارج از Scope</t>
        </is>
      </c>
      <c r="H20" s="4" t="inlineStr">
        <is>
          <t xml:space="preserve">رد شد (ادعا نادرست)</t>
        </is>
      </c>
      <c r="I20" s="8" t="inlineStr">
        <is>
          <t xml:space="preserve">coa/apps/main/models.py:397 (raw_input); services/call.py:771 ("asr_data": raw_input if debug); models.py:395 (conversation_reform); chatbot-iva-agent/src/schema.py (messages[].text)</t>
        </is>
      </c>
      <c r="J20" s="10" t="inlineStr">
        <is>
          <t xml:space="preserve">قطعی</t>
        </is>
      </c>
      <c r="K20" s="0" t="inlineStr">
        <is>
          <t xml:space="preserve">مشترک (تصمیم سیاست)</t>
        </is>
      </c>
      <c r="L20" s="0" t="inlineStr">
        <is>
          <t xml:space="preserve">T+2 روز کاری برای تصمیم سیاست</t>
        </is>
      </c>
      <c r="M20" s="4" t="inlineStr">
        <is>
          <t xml:space="preserve">⚠️⚠️ Transcript ذخیره می‌شود و روی Kafka منتشر می‌شود. «خارج از Scope» نادرست است. یا نگهداری را اعلام کنید یا ذخیره را متوقف کنید</t>
        </is>
      </c>
      <c r="N20" s="9"/>
      <c r="O20" s="7"/>
    </row>
    <row r="21">
      <c r="A21" s="0" t="inlineStr">
        <is>
          <t xml:space="preserve">3. AI Analysis</t>
        </is>
      </c>
      <c r="B21" s="10" t="inlineStr">
        <is>
          <t xml:space="preserve">AI-03</t>
        </is>
      </c>
      <c r="C21" s="0" t="inlineStr">
        <is>
          <t xml:space="preserve">Summary Fact-based</t>
        </is>
      </c>
      <c r="D21" s="0" t="inlineStr">
        <is>
          <t xml:space="preserve">AI برای هر مکالمه یا Voice Item خلاصه کوتاهی تولید کند که فقط آنچه فرد گفته بازتاب دهد و علت/قضاوت جدید اختراع نکند.</t>
        </is>
      </c>
      <c r="E21" s="0" t="inlineStr">
        <is>
          <t xml:space="preserve">Human Reviewer بتواند Summary را با Transcript مقایسه و Faithfulness آن را تأیید کند.</t>
        </is>
      </c>
      <c r="F21" s="7"/>
      <c r="G21" s="0" t="inlineStr">
        <is>
          <t xml:space="preserve">موجود در محصول</t>
        </is>
      </c>
      <c r="H21" s="3" t="inlineStr">
        <is>
          <t xml:space="preserve">تأییدشده</t>
        </is>
      </c>
      <c r="I21" s="8" t="inlineStr">
        <is>
          <t xml:space="preserve">coa/apps/main/models.py:372 (call_summary); chatbot-iva-agent AGENT_LLM_SESSION_SUMMARY_URL</t>
        </is>
      </c>
      <c r="J21" s="10" t="inlineStr">
        <is>
          <t xml:space="preserve">قطعی</t>
        </is>
      </c>
      <c r="K21" s="0" t="inlineStr">
        <is>
          <t xml:space="preserve">MCINEXT</t>
        </is>
      </c>
      <c r="L21" s="0" t="inlineStr">
        <is>
          <t xml:space="preserve">—</t>
        </is>
      </c>
      <c r="M21" s="3" t="inlineStr">
        <is>
          <t xml:space="preserve">⚠️ معیار پذیرش این ردیف مقایسه با Transcript است — به AI-02 گره خورده. Faithfulness سنجیده نشده</t>
        </is>
      </c>
      <c r="N21" s="9" t="inlineStr">
        <is>
          <t xml:space="preserve">معیار پذیرش از طریق شنیدن مکالمه و بررسی خلاصه تماس امکان پذیر است.</t>
        </is>
      </c>
      <c r="O21" s="7"/>
    </row>
    <row r="22">
      <c r="A22" s="0" t="inlineStr">
        <is>
          <t xml:space="preserve">3. AI Analysis</t>
        </is>
      </c>
      <c r="B22" s="10" t="inlineStr">
        <is>
          <t xml:space="preserve">AI-04</t>
        </is>
      </c>
      <c r="C22" s="0" t="inlineStr">
        <is>
          <t xml:space="preserve">تفکیک چند موضوع در یک مکالمه</t>
        </is>
      </c>
      <c r="D22" s="0" t="inlineStr">
        <is>
          <t xml:space="preserve">اگر کارمند در یک تماس چند مسئله مستقل مطرح کرد، سیستم آن‌ها را به Voice Itemهای جداگانه تفکیک کند تا هر موضوع Coding مستقل داشته باشد.</t>
        </is>
      </c>
      <c r="E22" s="0" t="inlineStr">
        <is>
          <t xml:space="preserve">سناریوی غذا + ارتقا + پرتال حداقل به سه Voice Item مجزا شکسته شود.</t>
        </is>
      </c>
      <c r="F22" s="7"/>
      <c r="G22" s="0" t="inlineStr">
        <is>
          <t xml:space="preserve">موجود در محصول</t>
        </is>
      </c>
      <c r="H22" s="5" t="inlineStr">
        <is>
          <t xml:space="preserve">نامشخص (coa-ai فریز)</t>
        </is>
      </c>
      <c r="I22" s="8" t="inlineStr">
        <is>
          <t xml:space="preserve">coa/apps/main/models.py:396 (topics JSON), 370 (category_subcategory_dict) — فقط خواندن نتیجه</t>
        </is>
      </c>
      <c r="J22" s="10" t="inlineStr">
        <is>
          <t xml:space="preserve">محتمل</t>
        </is>
      </c>
      <c r="K22" s="0" t="inlineStr">
        <is>
          <t xml:space="preserve">MCINEXT</t>
        </is>
      </c>
      <c r="L22" s="0" t="inlineStr">
        <is>
          <t xml:space="preserve">T+15 روز کاری پس از بازفعال‌سازی coa-ai</t>
        </is>
      </c>
      <c r="M22" s="5" t="inlineStr">
        <is>
          <t xml:space="preserve">منطق تفکیک چندموضوعی در python/coa-ai است که آخرین کامیتش 2025-07-13 است</t>
        </is>
      </c>
      <c r="N22" s="9" t="inlineStr">
        <is>
          <t xml:space="preserve">در سامانه تحلیل هوشمند به صورت خودکار به صورت جداگانه تشخیص داده می‌شوند.</t>
        </is>
      </c>
      <c r="O22" s="7"/>
    </row>
    <row r="23">
      <c r="A23" s="0" t="inlineStr">
        <is>
          <t xml:space="preserve">3. AI Analysis</t>
        </is>
      </c>
      <c r="B23" s="10" t="inlineStr">
        <is>
          <t xml:space="preserve">AI-05</t>
        </is>
      </c>
      <c r="C23" s="0" t="inlineStr">
        <is>
          <t xml:space="preserve">تشخیص نوع Voice</t>
        </is>
      </c>
      <c r="D23" s="0" t="inlineStr">
        <is>
          <t xml:space="preserve">نوع پیام مانند پیشنهاد، Pain Point، شکایت، نگرانی، سؤال/ابهام یا تجربه مثبت تشخیص داده شود؛ در صورت نیاز Multi-label باشد.</t>
        </is>
      </c>
      <c r="E23" s="0" t="inlineStr">
        <is>
          <t xml:space="preserve">پیامی که هم Pain Point و هم Suggestion دارد، هر دو جنبه را از دست ندهد.</t>
        </is>
      </c>
      <c r="F23" s="7"/>
      <c r="G23" s="0" t="inlineStr">
        <is>
          <t xml:space="preserve">نیازمند تنظیم / Configuration</t>
        </is>
      </c>
      <c r="H23" s="5" t="inlineStr">
        <is>
          <t xml:space="preserve">نامشخص (coa-ai فریز)</t>
        </is>
      </c>
      <c r="I23" s="8" t="inlineStr">
        <is>
          <t xml:space="preserve">coa/config.py (schema تگ‌ها)</t>
        </is>
      </c>
      <c r="J23" s="10" t="inlineStr">
        <is>
          <t xml:space="preserve">محتمل</t>
        </is>
      </c>
      <c r="K23" s="0" t="inlineStr">
        <is>
          <t xml:space="preserve">مشترک</t>
        </is>
      </c>
      <c r="L23" s="0" t="inlineStr">
        <is>
          <t xml:space="preserve">T+15 روز کاری پس از تعریف دقیق EX</t>
        </is>
      </c>
      <c r="M23" s="5" t="inlineStr">
        <is>
          <t xml:space="preserve">Multi-label بودن قابل تأیید نشد</t>
        </is>
      </c>
      <c r="N23" s="9" t="inlineStr">
        <is>
          <t xml:space="preserve">نیازمند تعریف دقیق‌تر</t>
        </is>
      </c>
      <c r="O23" s="7"/>
    </row>
    <row r="24">
      <c r="A24" s="0" t="inlineStr">
        <is>
          <t xml:space="preserve">3. AI Analysis</t>
        </is>
      </c>
      <c r="B24" s="10" t="inlineStr">
        <is>
          <t xml:space="preserve">AI-06</t>
        </is>
      </c>
      <c r="C24" s="0" t="inlineStr">
        <is>
          <t xml:space="preserve">Theme Detection</t>
        </is>
      </c>
      <c r="D24" s="0" t="inlineStr">
        <is>
          <t xml:space="preserve">موضوع اصلی هر Voice Item بر اساس Taxonomy مورد توافق EX شناسایی شود.</t>
        </is>
      </c>
      <c r="E24" s="0" t="inlineStr">
        <is>
          <t xml:space="preserve">Coding AI روی نمونه‌های Human-coded با تیم EX مقایسه شود.</t>
        </is>
      </c>
      <c r="F24" s="7"/>
      <c r="G24" s="0" t="inlineStr">
        <is>
          <t xml:space="preserve">موجود در محصول</t>
        </is>
      </c>
      <c r="H24" s="5" t="inlineStr">
        <is>
          <t xml:space="preserve">نامشخص (coa-ai فریز)</t>
        </is>
      </c>
      <c r="I24" s="8" t="inlineStr">
        <is>
          <t xml:space="preserve">category_subcategory_dict; GET /api/v1/analyse/calls/Thematic-analysis/category</t>
        </is>
      </c>
      <c r="J24" s="10" t="inlineStr">
        <is>
          <t xml:space="preserve">محتمل</t>
        </is>
      </c>
      <c r="K24" s="0" t="inlineStr">
        <is>
          <t xml:space="preserve">مشترک (Taxonomy از EX)</t>
        </is>
      </c>
      <c r="L24" s="0" t="inlineStr">
        <is>
          <t xml:space="preserve">T+10 روز کاری پس از دریافت Taxonomy</t>
        </is>
      </c>
      <c r="M24" s="5" t="inlineStr">
        <is>
          <t xml:space="preserve">لایه سرویس‌دهی و گزارش کامل است؛ کیفیت Coding سنجیده نشده</t>
        </is>
      </c>
      <c r="N24" s="9" t="inlineStr">
        <is>
          <t xml:space="preserve">امکان ارائه لیست ابتدایی بابت موضوعات مختلف از تیم EX به تیم MCINEXT وجود دارد.</t>
        </is>
      </c>
      <c r="O24" s="7"/>
    </row>
    <row r="25">
      <c r="A25" s="0" t="inlineStr">
        <is>
          <t xml:space="preserve">3. AI Analysis</t>
        </is>
      </c>
      <c r="B25" s="10" t="inlineStr">
        <is>
          <t xml:space="preserve">AI-07</t>
        </is>
      </c>
      <c r="C25" s="0" t="inlineStr">
        <is>
          <t xml:space="preserve">Sub-theme Detection</t>
        </is>
      </c>
      <c r="D25" s="0" t="inlineStr">
        <is>
          <t xml:space="preserve">در صورت وجود ساختار زیرموضوع، AI Voice را در Sub-theme مناسب قرار دهد تا گزارش بیش از حد کلی نشود.</t>
        </is>
      </c>
      <c r="E25" s="0" t="inlineStr">
        <is>
          <t xml:space="preserve">برای Voice رستوران، زیرموضوعی مانند کیفیت/تنوع در صورت تعریف Taxonomy تشخیص داده شود.</t>
        </is>
      </c>
      <c r="F25" s="7"/>
      <c r="G25" s="0" t="inlineStr">
        <is>
          <t xml:space="preserve">موجود در محصول</t>
        </is>
      </c>
      <c r="H25" s="5" t="inlineStr">
        <is>
          <t xml:space="preserve">نامشخص (coa-ai فریز)</t>
        </is>
      </c>
      <c r="I25" s="8" t="inlineStr">
        <is>
          <t xml:space="preserve">GET /api/v1/analyse/calls/Thematic-analysis/subcategory</t>
        </is>
      </c>
      <c r="J25" s="10" t="inlineStr">
        <is>
          <t xml:space="preserve">محتمل</t>
        </is>
      </c>
      <c r="K25" s="0" t="inlineStr">
        <is>
          <t xml:space="preserve">مشترک</t>
        </is>
      </c>
      <c r="L25" s="0" t="inlineStr">
        <is>
          <t xml:space="preserve">همان AI-06</t>
        </is>
      </c>
      <c r="M25" s="5" t="inlineStr">
        <is>
          <t xml:space="preserve">زیرموضوع در API و مدل داده پشتیبانی می‌شود</t>
        </is>
      </c>
      <c r="N25" s="9" t="inlineStr">
        <is>
          <t xml:space="preserve">موجود در سامانه که به صورت خودکار ایجاد می‌کند.</t>
        </is>
      </c>
      <c r="O25" s="7"/>
    </row>
    <row r="26">
      <c r="A26" s="0" t="inlineStr">
        <is>
          <t xml:space="preserve">3. AI Analysis</t>
        </is>
      </c>
      <c r="B26" s="10" t="inlineStr">
        <is>
          <t xml:space="preserve">AI-08</t>
        </is>
      </c>
      <c r="C26" s="0" t="inlineStr">
        <is>
          <t xml:space="preserve">Sentiment / Direction</t>
        </is>
      </c>
      <c r="D26" s="0" t="inlineStr">
        <is>
          <t xml:space="preserve">جهت کلی محتوای Voice در سطح Positive / Neutral-Mixed / Negative تحلیل شود؛ مبنا محتوای بیان‌شده باشد نه ادعای قطعی درباره حالت روانی فرد.</t>
        </is>
      </c>
      <c r="E26" s="0" t="inlineStr">
        <is>
          <t xml:space="preserve">جهت کلی محتوای Voice در سطح Positive / Neutral-Mixed / Negative تحلیل شود؛ مبنا محتوای بیان‌شده باشد نه ادعای قطعی درباره حالت روانی فرد.</t>
        </is>
      </c>
      <c r="F26" s="7"/>
      <c r="G26" s="0" t="inlineStr">
        <is>
          <t xml:space="preserve">نیازمند توسعه / Customization</t>
        </is>
      </c>
      <c r="H26" s="5" t="inlineStr">
        <is>
          <t xml:space="preserve">جزئی → «تنظیم» نه «توسعه»</t>
        </is>
      </c>
      <c r="I26" s="8" t="inlineStr">
        <is>
          <t xml:space="preserve">coa/apps/main/models.py:340-345 (user_sentiment, agent_sentiment, *_meta, index دار)</t>
        </is>
      </c>
      <c r="J26" s="10" t="inlineStr">
        <is>
          <t xml:space="preserve">قطعی</t>
        </is>
      </c>
      <c r="K26" s="0" t="inlineStr">
        <is>
          <t xml:space="preserve">MCINEXT</t>
        </is>
      </c>
      <c r="L26" s="0" t="inlineStr">
        <is>
          <t xml:space="preserve">T+5 روز کاری</t>
        </is>
      </c>
      <c r="M26" s="5" t="inlineStr">
        <is>
          <t xml:space="preserve">Sentiment از قبل ذخیره می‌شود؛ فقط مقیاس سه‌سطحی و عبارت‌بندی «مبتنی بر محتوا» نیاز به تنظیم دارد. ⚠️ سلول معیار پذیرش این ردیف کپی شرح نیاز است — از EX معیار واقعی بخواهید</t>
        </is>
      </c>
      <c r="N26" s="9"/>
      <c r="O26" s="7"/>
    </row>
    <row r="27">
      <c r="A27" s="0" t="inlineStr">
        <is>
          <t xml:space="preserve">3. AI Analysis</t>
        </is>
      </c>
      <c r="B27" s="10" t="inlineStr">
        <is>
          <t xml:space="preserve">AI-09</t>
        </is>
      </c>
      <c r="C27" s="0" t="inlineStr">
        <is>
          <t xml:space="preserve">Positive Signal Detection</t>
        </is>
      </c>
      <c r="D27" s="0" t="inlineStr">
        <is>
          <t xml:space="preserve">سیستم علاوه بر مشکلات و نارضایتی‌ها، تجربه‌های مثبت و بهبودهای دیده‌شده توسط کارکنان را نیز استخراج کند.</t>
        </is>
      </c>
      <c r="E27" s="0" t="inlineStr">
        <is>
          <t xml:space="preserve">بازخورد مثبت درباره یک خدمت در Dashboard/Report قابل مشاهده باشد.</t>
        </is>
      </c>
      <c r="F27" s="7"/>
      <c r="G27" s="0" t="inlineStr">
        <is>
          <t xml:space="preserve">موجود در محصول</t>
        </is>
      </c>
      <c r="H27" s="5" t="inlineStr">
        <is>
          <t xml:space="preserve">جزئی</t>
        </is>
      </c>
      <c r="I27" s="8" t="inlineStr">
        <is>
          <t xml:space="preserve">user_sentiment (مقادیر مثبت) + models.py:373 (suggestions)</t>
        </is>
      </c>
      <c r="J27" s="10" t="inlineStr">
        <is>
          <t xml:space="preserve">محتمل</t>
        </is>
      </c>
      <c r="K27" s="0" t="inlineStr">
        <is>
          <t xml:space="preserve">MCINEXT</t>
        </is>
      </c>
      <c r="L27" s="0" t="inlineStr">
        <is>
          <t xml:space="preserve">T+5 روز کاری</t>
        </is>
      </c>
      <c r="M27" s="5" t="inlineStr">
        <is>
          <t xml:space="preserve">داده هست؛ View/فیلتر اختصاصی Positive لازم است</t>
        </is>
      </c>
      <c r="N27" s="9"/>
      <c r="O27" s="7"/>
    </row>
    <row r="28">
      <c r="A28" s="0" t="inlineStr">
        <is>
          <t xml:space="preserve">3. AI Analysis</t>
        </is>
      </c>
      <c r="B28" s="10" t="inlineStr">
        <is>
          <t xml:space="preserve">AI-10</t>
        </is>
      </c>
      <c r="C28" s="0" t="inlineStr">
        <is>
          <t xml:space="preserve">Frequency Analysis</t>
        </is>
      </c>
      <c r="D28" s="0" t="inlineStr">
        <is>
          <t xml:space="preserve">تعداد و سهم Voiceهای مرتبط با Theme/Sub-theme در بازه زمانی محاسبه شود تا موضوعات پرتکرار مشخص شوند.</t>
        </is>
      </c>
      <c r="E28" s="0" t="inlineStr">
        <is>
          <t xml:space="preserve">Top Themeها براساس واحد تحلیل مشخص و Denominator شفاف گزارش شوند.</t>
        </is>
      </c>
      <c r="F28" s="7"/>
      <c r="G28" s="0" t="inlineStr">
        <is>
          <t xml:space="preserve">موجود در محصول</t>
        </is>
      </c>
      <c r="H28" s="3" t="inlineStr">
        <is>
          <t xml:space="preserve">تأییدشده</t>
        </is>
      </c>
      <c r="I28" s="8" t="inlineStr">
        <is>
          <t xml:space="preserve">coa/apps/main/services/thematic_analysis.py; /analyse/calls/Thematic-analysis/*</t>
        </is>
      </c>
      <c r="J28" s="10" t="inlineStr">
        <is>
          <t xml:space="preserve">قطعی</t>
        </is>
      </c>
      <c r="K28" s="0" t="inlineStr">
        <is>
          <t xml:space="preserve">—</t>
        </is>
      </c>
      <c r="L28" s="0" t="inlineStr">
        <is>
          <t xml:space="preserve">—</t>
        </is>
      </c>
      <c r="M28" s="3" t="inlineStr">
        <is>
          <t xml:space="preserve">Frequency و سهم موضوعات کامل</t>
        </is>
      </c>
      <c r="N28" s="9"/>
      <c r="O28" s="7"/>
    </row>
    <row r="29">
      <c r="A29" s="0" t="inlineStr">
        <is>
          <t xml:space="preserve">3. AI Analysis</t>
        </is>
      </c>
      <c r="B29" s="10" t="inlineStr">
        <is>
          <t xml:space="preserve">AI-11</t>
        </is>
      </c>
      <c r="C29" s="0" t="inlineStr">
        <is>
          <t xml:space="preserve">Trend Detection</t>
        </is>
      </c>
      <c r="D29" s="0" t="inlineStr">
        <is>
          <t xml:space="preserve">سیستم تغییر موضوعات در زمان را تشخیص دهد و Rising/Stable/Falling یا روند مشابه ارائه کند؛ صرف Volume بالا به معنی Alert نباشد.</t>
        </is>
      </c>
      <c r="E29" s="0" t="inlineStr">
        <is>
          <t xml:space="preserve">موضوعی با رشد محسوس نسبت به Baseline به‌عنوان Rising شناسایی شود.</t>
        </is>
      </c>
      <c r="F29" s="7"/>
      <c r="G29" s="0" t="inlineStr">
        <is>
          <t xml:space="preserve">موجود در محصول</t>
        </is>
      </c>
      <c r="H29" s="3" t="inlineStr">
        <is>
          <t xml:space="preserve">تأییدشده</t>
        </is>
      </c>
      <c r="I29" s="8" t="inlineStr">
        <is>
          <t xml:space="preserve">coa/apps/trends/services/sync.py; coa/apps/trends/models.py:81 (trend_score, baseline, trend_signal, is_trend, time_series)</t>
        </is>
      </c>
      <c r="J29" s="10" t="inlineStr">
        <is>
          <t xml:space="preserve">قطعی</t>
        </is>
      </c>
      <c r="K29" s="0" t="inlineStr">
        <is>
          <t xml:space="preserve">—</t>
        </is>
      </c>
      <c r="L29" s="0" t="inlineStr">
        <is>
          <t xml:space="preserve">—</t>
        </is>
      </c>
      <c r="M29" s="3" t="inlineStr">
        <is>
          <t xml:space="preserve">Baseline و signal واقعی دارد — نه فقط شمارش حجم</t>
        </is>
      </c>
      <c r="N29" s="9"/>
      <c r="O29" s="7"/>
    </row>
    <row r="30">
      <c r="A30" s="0" t="inlineStr">
        <is>
          <t xml:space="preserve">3. AI Analysis</t>
        </is>
      </c>
      <c r="B30" s="10" t="inlineStr">
        <is>
          <t xml:space="preserve">AI-12</t>
        </is>
      </c>
      <c r="C30" s="0" t="inlineStr">
        <is>
          <t xml:space="preserve">Similarity &amp; Clustering</t>
        </is>
      </c>
      <c r="D30" s="0" t="inlineStr">
        <is>
          <t xml:space="preserve">Voiceهای مشابه بدون حذف رکورد اصلی در Clusterهای مشترک قرار گیرند تا Patternهای تکرارشونده قابل مشاهده شوند.</t>
        </is>
      </c>
      <c r="E30" s="0" t="inlineStr">
        <is>
          <t xml:space="preserve">چند بازخورد مشابه درباره دسترسی روز اول در یک Cluster مشترک دیده شوند.</t>
        </is>
      </c>
      <c r="F30" s="7"/>
      <c r="G30" s="0" t="inlineStr">
        <is>
          <t xml:space="preserve">موجود در محصول</t>
        </is>
      </c>
      <c r="H30" s="6" t="inlineStr">
        <is>
          <t xml:space="preserve">غایب (در ریپوهای فعال)</t>
        </is>
      </c>
      <c r="I30" s="8" t="inlineStr">
        <is>
          <t xml:space="preserve">هیچ کد clustering/similarity یافت نشد</t>
        </is>
      </c>
      <c r="J30" s="10" t="inlineStr">
        <is>
          <t xml:space="preserve">قطعی</t>
        </is>
      </c>
      <c r="K30" s="0" t="inlineStr">
        <is>
          <t xml:space="preserve">MCINEXT</t>
        </is>
      </c>
      <c r="L30" s="0" t="inlineStr">
        <is>
          <t xml:space="preserve">T+20 روز کاری</t>
        </is>
      </c>
      <c r="M30" s="6" t="inlineStr">
        <is>
          <t xml:space="preserve">یا در coa-ai فریزشده است یا وجود ندارد؛ پیش از تعهد بررسی شود</t>
        </is>
      </c>
      <c r="N30" s="9" t="inlineStr">
        <is>
          <t xml:space="preserve">نیازمند تعریف دقیق‌تر از سوی تیم EX</t>
        </is>
      </c>
      <c r="O30" s="7"/>
    </row>
    <row r="31">
      <c r="A31" s="0" t="inlineStr">
        <is>
          <t xml:space="preserve">3. AI Analysis</t>
        </is>
      </c>
      <c r="B31" s="10" t="inlineStr">
        <is>
          <t xml:space="preserve">AI-13</t>
        </is>
      </c>
      <c r="C31" s="0" t="inlineStr">
        <is>
          <t xml:space="preserve">Emerging Theme Detection</t>
        </is>
      </c>
      <c r="D31" s="0" t="inlineStr">
        <is>
          <t xml:space="preserve">سیستم بتواند موضوع جدیدی را که در Taxonomy موجود نیست ولی چند Voice مشابه درباره آن شکل گرفته شناسایی و به‌عنوان Candidate نمایش دهد.</t>
        </is>
      </c>
      <c r="E31" s="0" t="inlineStr">
        <is>
          <t xml:space="preserve">موضوع جدید به‌زور به نزدیک‌ترین Theme موجود Map نشود و Candidate قابل Review ایجاد شود.</t>
        </is>
      </c>
      <c r="F31" s="7"/>
      <c r="G31" s="0" t="inlineStr">
        <is>
          <t xml:space="preserve">موجود در محصول</t>
        </is>
      </c>
      <c r="H31" s="6" t="inlineStr">
        <is>
          <t xml:space="preserve">غایب (در ریپوهای فعال)</t>
        </is>
      </c>
      <c r="I31" s="8" t="inlineStr">
        <is>
          <t xml:space="preserve">هیچ کد emerging/candidate topic یافت نشد</t>
        </is>
      </c>
      <c r="J31" s="10" t="inlineStr">
        <is>
          <t xml:space="preserve">قطعی</t>
        </is>
      </c>
      <c r="K31" s="0" t="inlineStr">
        <is>
          <t xml:space="preserve">MCINEXT</t>
        </is>
      </c>
      <c r="L31" s="0" t="inlineStr">
        <is>
          <t xml:space="preserve">T+20 روز کاری</t>
        </is>
      </c>
      <c r="M31" s="6" t="inlineStr">
        <is>
          <t xml:space="preserve">همین وضعیت AI-12</t>
        </is>
      </c>
      <c r="N31" s="9"/>
      <c r="O31" s="7"/>
    </row>
    <row r="32">
      <c r="A32" s="0" t="inlineStr">
        <is>
          <t xml:space="preserve">3. AI Analysis</t>
        </is>
      </c>
      <c r="B32" s="10" t="inlineStr">
        <is>
          <t xml:space="preserve">AI-14</t>
        </is>
      </c>
      <c r="C32" s="0" t="inlineStr">
        <is>
          <t xml:space="preserve">Confidence / عدم اطمینان مدل</t>
        </is>
      </c>
      <c r="D32" s="0" t="inlineStr">
        <is>
          <t xml:space="preserve">در صورت امکان Confidence خروجی‌های اصلی ثبت شود و AI در موارد مبهم بتواند Unclear / Needs Review بدهد، نه اینکه Classification قطعی بسازد.</t>
        </is>
      </c>
      <c r="E32" s="0" t="inlineStr">
        <is>
          <t xml:space="preserve">نمونه صوت یا متن مبهم به‌عنوان Low Confidence/Needs Review قابل تشخیص باشد.</t>
        </is>
      </c>
      <c r="F32" s="7"/>
      <c r="G32" s="0" t="inlineStr">
        <is>
          <t xml:space="preserve">نیازمند توسعه / Customization</t>
        </is>
      </c>
      <c r="H32" s="5" t="inlineStr">
        <is>
          <t xml:space="preserve">جزئی</t>
        </is>
      </c>
      <c r="I32" s="8" t="inlineStr">
        <is>
          <t xml:space="preserve">chatbot-iva-agent/src/schema.py (transcript_confidence per utterance)</t>
        </is>
      </c>
      <c r="J32" s="10" t="inlineStr">
        <is>
          <t xml:space="preserve">قطعی</t>
        </is>
      </c>
      <c r="K32" s="0" t="inlineStr">
        <is>
          <t xml:space="preserve">MCINEXT</t>
        </is>
      </c>
      <c r="L32" s="0" t="inlineStr">
        <is>
          <t xml:space="preserve">T+10 روز کاری</t>
        </is>
      </c>
      <c r="M32" s="5" t="inlineStr">
        <is>
          <t xml:space="preserve">Confidence در سطح ASR از قبل روی Kafka جریان دارد؛ Confidence خروجی LLM و برچسب Needs Review غایب است</t>
        </is>
      </c>
      <c r="N32" s="9"/>
      <c r="O32" s="7"/>
    </row>
    <row r="33">
      <c r="A33" s="0" t="inlineStr">
        <is>
          <t xml:space="preserve">3. AI Analysis</t>
        </is>
      </c>
      <c r="B33" s="10" t="inlineStr">
        <is>
          <t xml:space="preserve">AI-15</t>
        </is>
      </c>
      <c r="C33" s="0" t="inlineStr">
        <is>
          <t xml:space="preserve">Severity / اهمیت بالقوه</t>
        </is>
      </c>
      <c r="D33" s="0" t="inlineStr">
        <is>
          <t xml:space="preserve">در صورت امکان، شدت موضوع از Sentiment جداگانه تشخیص داده شود تا یک محتوای آرام ولی مهم از یک شکایت کم‌اهمیت متمایز شود.</t>
        </is>
      </c>
      <c r="E33" s="0" t="inlineStr">
        <is>
          <t xml:space="preserve">یک موضوع دارای پیامد جدی بتواند Severity بالاتر از Sentiment آن دریافت کند.</t>
        </is>
      </c>
      <c r="F33" s="7"/>
      <c r="G33" s="0" t="inlineStr">
        <is>
          <t xml:space="preserve">نیازمند توسعه / Customization</t>
        </is>
      </c>
      <c r="H33" s="6" t="inlineStr">
        <is>
          <t xml:space="preserve">غایب</t>
        </is>
      </c>
      <c r="I33" s="8" t="inlineStr">
        <is>
          <t xml:space="preserve">هیچ فیلد severity مستقل از sentiment یافت نشد</t>
        </is>
      </c>
      <c r="J33" s="10" t="inlineStr">
        <is>
          <t xml:space="preserve">قطعی</t>
        </is>
      </c>
      <c r="K33" s="0" t="inlineStr">
        <is>
          <t xml:space="preserve">مشترک</t>
        </is>
      </c>
      <c r="L33" s="0" t="inlineStr">
        <is>
          <t xml:space="preserve">T+15 روز کاری</t>
        </is>
      </c>
      <c r="M33" s="6" t="inlineStr">
        <is>
          <t xml:space="preserve">trends/services/webhook.py:93 فقط severity ثابت "high" دارد</t>
        </is>
      </c>
      <c r="N33" s="9"/>
      <c r="O33" s="7"/>
    </row>
    <row r="34">
      <c r="A34" s="0" t="inlineStr">
        <is>
          <t xml:space="preserve">4. Segmentation &amp; Employee Context</t>
        </is>
      </c>
      <c r="B34" s="10" t="inlineStr">
        <is>
          <t xml:space="preserve">SEG-01</t>
        </is>
      </c>
      <c r="C34" s="0" t="inlineStr">
        <is>
          <t xml:space="preserve">دریافت دیتاست معتبر کارکنان MCI</t>
        </is>
      </c>
      <c r="D34" s="0" t="inlineStr">
        <is>
          <t xml:space="preserve">برای Pilot یک دیتاست کنترل‌شده شامل شماره تماس و Attributeهای موردنیاز کارکنان MCI در اختیار سیستم قرار گیرد.</t>
        </is>
      </c>
      <c r="E34" s="0" t="inlineStr">
        <is>
          <t xml:space="preserve">نسخه اولیه دیتاست بدون فیلدهای غیرضروری بارگذاری و قابل Mapping باشد.</t>
        </is>
      </c>
      <c r="F34" s="7"/>
      <c r="G34" s="0" t="inlineStr">
        <is>
          <t xml:space="preserve">نیازمند تنظیم / Configuration</t>
        </is>
      </c>
      <c r="H34" s="0" t="inlineStr">
        <is>
          <t xml:space="preserve">تنظیم</t>
        </is>
      </c>
      <c r="I34" s="8" t="inlineStr">
        <is>
          <t xml:space="preserve">—</t>
        </is>
      </c>
      <c r="J34" s="10" t="inlineStr">
        <is>
          <t xml:space="preserve">قطعی</t>
        </is>
      </c>
      <c r="K34" s="0" t="inlineStr">
        <is>
          <t xml:space="preserve">EX</t>
        </is>
      </c>
      <c r="L34" s="0" t="inlineStr">
        <is>
          <t xml:space="preserve">T+3 روز کاری پس از تحویل دیتاست</t>
        </is>
      </c>
      <c r="M34" s="0" t="inlineStr">
        <is>
          <t xml:space="preserve">وابستگی کامل به EX</t>
        </is>
      </c>
      <c r="N34" s="9"/>
      <c r="O34" s="7"/>
    </row>
    <row r="35">
      <c r="A35" s="0" t="inlineStr">
        <is>
          <t xml:space="preserve">4. Segmentation &amp; Employee Context</t>
        </is>
      </c>
      <c r="B35" s="10" t="inlineStr">
        <is>
          <t xml:space="preserve">SEG-02</t>
        </is>
      </c>
      <c r="C35" s="0" t="inlineStr">
        <is>
          <t xml:space="preserve">ساختار سازمانی موردنیاز</t>
        </is>
      </c>
      <c r="D35" s="0" t="inlineStr">
        <is>
          <t xml:space="preserve">حداقل فیلدهای معاونت، اداره کل و اداره برای تحلیل Segmentها قابل استفاده باشند؛ Attribute اضافه فقط در صورت نیاز واقعی وارد شود.</t>
        </is>
      </c>
      <c r="E35" s="0" t="inlineStr">
        <is>
          <t xml:space="preserve">Voice هر تماس در Segment سازمانی صحیح Aggregate شود.</t>
        </is>
      </c>
      <c r="F35" s="7"/>
      <c r="G35" s="0" t="inlineStr">
        <is>
          <t xml:space="preserve">نیازمند تنظیم / Configuration</t>
        </is>
      </c>
      <c r="H35" s="0" t="inlineStr">
        <is>
          <t xml:space="preserve">تنظیم</t>
        </is>
      </c>
      <c r="I35" s="8" t="inlineStr">
        <is>
          <t xml:space="preserve">—</t>
        </is>
      </c>
      <c r="J35" s="10" t="inlineStr">
        <is>
          <t xml:space="preserve">قطعی</t>
        </is>
      </c>
      <c r="K35" s="0" t="inlineStr">
        <is>
          <t xml:space="preserve">EX</t>
        </is>
      </c>
      <c r="L35" s="0" t="inlineStr">
        <is>
          <t xml:space="preserve">همان SEG-01</t>
        </is>
      </c>
      <c r="M35" s="0" t="inlineStr">
        <is>
          <t xml:space="preserve">حداقل سه فیلد سازمانی</t>
        </is>
      </c>
      <c r="N35" s="9"/>
      <c r="O35" s="7"/>
    </row>
    <row r="36">
      <c r="A36" s="0" t="inlineStr">
        <is>
          <t xml:space="preserve">4. Segmentation &amp; Employee Context</t>
        </is>
      </c>
      <c r="B36" s="10" t="inlineStr">
        <is>
          <t xml:space="preserve">SEG-03</t>
        </is>
      </c>
      <c r="C36" s="0" t="inlineStr">
        <is>
          <t xml:space="preserve">جداسازی Context از هویت نمایشی</t>
        </is>
      </c>
      <c r="D36" s="0" t="inlineStr">
        <is>
          <t xml:space="preserve">سیستم بتواند از Context سازمانی برای تحلیل استفاده کند بدون اینکه نام یا شماره فرد را در Dashboard عادی نمایش دهد.</t>
        </is>
      </c>
      <c r="E36" s="0" t="inlineStr">
        <is>
          <t xml:space="preserve">فیلتر سازمانی کار کند ولی جدول/نمودار نام یا شماره افراد را نشان ندهد.</t>
        </is>
      </c>
      <c r="F36" s="7"/>
      <c r="G36" s="0" t="inlineStr">
        <is>
          <t xml:space="preserve">نیازمند تنظیم / Configuration</t>
        </is>
      </c>
      <c r="H36" s="5" t="inlineStr">
        <is>
          <t xml:space="preserve">جزئی</t>
        </is>
      </c>
      <c r="I36" s="8" t="inlineStr">
        <is>
          <t xml:space="preserve">coa/apps/users/permissions.py; coa/apps/main/services/call.py:849 (view_all_calls → agent_id scoping)</t>
        </is>
      </c>
      <c r="J36" s="10" t="inlineStr">
        <is>
          <t xml:space="preserve">قطعی</t>
        </is>
      </c>
      <c r="K36" s="0" t="inlineStr">
        <is>
          <t xml:space="preserve">MCINEXT</t>
        </is>
      </c>
      <c r="L36" s="0" t="inlineStr">
        <is>
          <t xml:space="preserve">T+10 روز کاری</t>
        </is>
      </c>
      <c r="M36" s="5" t="inlineStr">
        <is>
          <t xml:space="preserve">RBAC و Row-level scoping واقعی موجود است؛ پنهان‌سازی هویت در لایه Serializer لازم است</t>
        </is>
      </c>
      <c r="N36" s="9"/>
      <c r="O36" s="7"/>
    </row>
    <row r="37">
      <c r="A37" s="0" t="inlineStr">
        <is>
          <t xml:space="preserve">4. Segmentation &amp; Employee Context</t>
        </is>
      </c>
      <c r="B37" s="10" t="inlineStr">
        <is>
          <t xml:space="preserve">SEG-04</t>
        </is>
      </c>
      <c r="C37" s="0" t="inlineStr">
        <is>
          <t xml:space="preserve">Refresh / به‌روزرسانی دیتاست</t>
        </is>
      </c>
      <c r="D37" s="0" t="inlineStr">
        <is>
          <t xml:space="preserve">فرایند به‌روزرسانی Whitelist و Mapping کارکنان مشخص باشد تا جابه‌جایی سازمانی یا تغییر شماره باعث استفاده از داده قدیمی نشود.</t>
        </is>
      </c>
      <c r="E37" s="0" t="inlineStr">
        <is>
          <t xml:space="preserve">روش Refresh، تناوب و مسئول به‌روزرسانی مستند شود.</t>
        </is>
      </c>
      <c r="F37" s="7"/>
      <c r="G37" s="0" t="inlineStr">
        <is>
          <t xml:space="preserve">نیازمند تنظیم / Configuration</t>
        </is>
      </c>
      <c r="H37" s="6" t="inlineStr">
        <is>
          <t xml:space="preserve">غایب (فرایند)</t>
        </is>
      </c>
      <c r="I37" s="8" t="inlineStr">
        <is>
          <t xml:space="preserve">—</t>
        </is>
      </c>
      <c r="J37" s="10" t="inlineStr">
        <is>
          <t xml:space="preserve">قطعی</t>
        </is>
      </c>
      <c r="K37" s="0" t="inlineStr">
        <is>
          <t xml:space="preserve">مشترک</t>
        </is>
      </c>
      <c r="L37" s="0" t="inlineStr">
        <is>
          <t xml:space="preserve">T+5 روز کاری پس از توافق تناوب</t>
        </is>
      </c>
      <c r="M37" s="6" t="inlineStr">
        <is>
          <t xml:space="preserve">فرایند و مسئول، نه کد</t>
        </is>
      </c>
      <c r="N37" s="9"/>
      <c r="O37" s="7"/>
    </row>
    <row r="38">
      <c r="A38" s="0" t="inlineStr">
        <is>
          <t xml:space="preserve">4. Segmentation &amp; Employee Context</t>
        </is>
      </c>
      <c r="B38" s="10" t="inlineStr">
        <is>
          <t xml:space="preserve">SEG-05</t>
        </is>
      </c>
      <c r="C38" s="0" t="inlineStr">
        <is>
          <t xml:space="preserve">مدیریت Mapping ناموفق</t>
        </is>
      </c>
      <c r="D38" s="0" t="inlineStr">
        <is>
          <t xml:space="preserve">اگر شماره داخل Whitelist باشد ولی Context سازمانی آن قابل بازیابی نباشد، سیستم رکورد را Unmapped علامت بزند و از نسبت‌دادن حدسی جلوگیری کند.</t>
        </is>
      </c>
      <c r="E38" s="0" t="inlineStr">
        <is>
          <t xml:space="preserve">نمونه Unmapped در گزارش خطا/داده دیده شود و به واحد اشتباه نسبت داده نشود.</t>
        </is>
      </c>
      <c r="F38" s="7"/>
      <c r="G38" s="0" t="inlineStr">
        <is>
          <t xml:space="preserve">موجود در محصول</t>
        </is>
      </c>
      <c r="H38" s="5" t="inlineStr">
        <is>
          <t xml:space="preserve">جزئی</t>
        </is>
      </c>
      <c r="I38" s="8" t="inlineStr">
        <is>
          <t xml:space="preserve">هیچ برچسب Unmapped در مدل داده یافت نشد</t>
        </is>
      </c>
      <c r="J38" s="10" t="inlineStr">
        <is>
          <t xml:space="preserve">محتمل</t>
        </is>
      </c>
      <c r="K38" s="0" t="inlineStr">
        <is>
          <t xml:space="preserve">MCINEXT</t>
        </is>
      </c>
      <c r="L38" s="0" t="inlineStr">
        <is>
          <t xml:space="preserve">T+7 روز کاری</t>
        </is>
      </c>
      <c r="M38" s="5" t="inlineStr">
        <is>
          <t xml:space="preserve">در توافق «موجود» علامت خورده اما شاهد کدی پیدا نشد — پیش از UAT تأیید کنید</t>
        </is>
      </c>
      <c r="N38" s="9"/>
      <c r="O38" s="7"/>
    </row>
    <row r="39">
      <c r="A39" s="0" t="inlineStr">
        <is>
          <t xml:space="preserve">4. Segmentation &amp; Employee Context</t>
        </is>
      </c>
      <c r="B39" s="10" t="inlineStr">
        <is>
          <t xml:space="preserve">SEG-06</t>
        </is>
      </c>
      <c r="C39" s="0" t="inlineStr">
        <is>
          <t xml:space="preserve">محدودیت جامعه Pilot به قرارداد MCI</t>
        </is>
      </c>
      <c r="D39" s="0" t="inlineStr">
        <is>
          <t xml:space="preserve">در نسخه اول Segmentها فقط برای جامعه MCI تحلیل شوند؛ گروه‌های قراردادی دیگر تا تعیین Source و Mapping معتبر خارج از Pilot بمانند.</t>
        </is>
      </c>
      <c r="E39" s="0" t="inlineStr">
        <is>
          <t xml:space="preserve">هیچ رکورد غیر-MCI بدون تصمیم جدید وارد جامعه Pilot نشود.</t>
        </is>
      </c>
      <c r="F39" s="7"/>
      <c r="G39" s="0" t="inlineStr">
        <is>
          <t xml:space="preserve">نیازمند تنظیم / Configuration</t>
        </is>
      </c>
      <c r="H39" s="0" t="inlineStr">
        <is>
          <t xml:space="preserve">تنظیم</t>
        </is>
      </c>
      <c r="I39" s="8" t="inlineStr">
        <is>
          <t xml:space="preserve">—</t>
        </is>
      </c>
      <c r="J39" s="10" t="inlineStr">
        <is>
          <t xml:space="preserve">قطعی</t>
        </is>
      </c>
      <c r="K39" s="0" t="inlineStr">
        <is>
          <t xml:space="preserve">EX</t>
        </is>
      </c>
      <c r="L39" s="0" t="inlineStr">
        <is>
          <t xml:space="preserve">T+3 روز کاری</t>
        </is>
      </c>
      <c r="M39" s="0" t="inlineStr">
        <is>
          <t xml:space="preserve">محدودسازی جامعه پایلوت</t>
        </is>
      </c>
      <c r="N39" s="9"/>
      <c r="O39" s="7"/>
    </row>
    <row r="40">
      <c r="A40" s="0" t="inlineStr">
        <is>
          <t xml:space="preserve">4. Segmentation &amp; Employee Context</t>
        </is>
      </c>
      <c r="B40" s="10" t="inlineStr">
        <is>
          <t xml:space="preserve">SEG-07</t>
        </is>
      </c>
      <c r="C40" s="0" t="inlineStr">
        <is>
          <t xml:space="preserve">اتصال مستقیم به SAP و همگام‌سازی خودکار اطلاعات کارکنان</t>
        </is>
      </c>
      <c r="D40" s="0" t="inlineStr">
        <is>
          <t xml:space="preserve">سامانه به‌جای دریافت و به‌روزرسانی دستی فایل Excel کارکنان، به SAP یا سرویس واسط مورد تأیید متصل شود و اطلاعات موردنیاز کارکنان را به‌صورت خودکار دریافت و به‌روزرسانی کند. با ایجاد، جابه‌جایی یا خروج همکار در SAP، اطلاعات سامانه نیز براساس زمان‌بندی یا مکانیزم Sync مورد توافق به‌روزرسانی شود.</t>
        </is>
      </c>
      <c r="E40" s="0" t="inlineStr">
        <is>
          <t xml:space="preserve">پس از تغییر اطلاعات یک کارمند در SAP، مانند جابه‌جایی از یک اداره به اداره دیگر، اطلاعات او بدون بارگذاری Excel و در بازه زمانی توافق‌شده در سامانه EX به‌روزرسانی شود. خطاهای Sync نیز قابل مشاهده و پیگیری باشند.</t>
        </is>
      </c>
      <c r="F40" s="7"/>
      <c r="G40" s="0" t="inlineStr">
        <is>
          <t xml:space="preserve">نیازمند توسعه / Customization</t>
        </is>
      </c>
      <c r="H40" s="6" t="inlineStr">
        <is>
          <t xml:space="preserve">غایب</t>
        </is>
      </c>
      <c r="I40" s="8" t="inlineStr">
        <is>
          <t xml:space="preserve">هیچ کد SAP/middleware یافت نشد</t>
        </is>
      </c>
      <c r="J40" s="10" t="inlineStr">
        <is>
          <t xml:space="preserve">قطعی</t>
        </is>
      </c>
      <c r="K40" s="0" t="inlineStr">
        <is>
          <t xml:space="preserve">MCI-IT (اعطای دسترسی)</t>
        </is>
      </c>
      <c r="L40" s="0" t="inlineStr">
        <is>
          <t xml:space="preserve">Phase 2 — T+30 روز کاری پس از اعطای دسترسی SAP</t>
        </is>
      </c>
      <c r="M40" s="6" t="inlineStr">
        <is>
          <t xml:space="preserve">⚠️ بزرگ‌ترین آیتم توسعه کل توافق و خارج از کنترل تیم شما. جایگزین MVP: SEG-01 + SEG-04 (اکسل + تناوب مستند)</t>
        </is>
      </c>
      <c r="N40" s="9"/>
      <c r="O40" s="7"/>
    </row>
    <row r="41">
      <c r="A41" s="0" t="inlineStr">
        <is>
          <t xml:space="preserve">5. Privacy &amp; Access</t>
        </is>
      </c>
      <c r="B41" s="10" t="inlineStr">
        <is>
          <t xml:space="preserve">PRV-01</t>
        </is>
      </c>
      <c r="C41" s="0" t="inlineStr">
        <is>
          <t xml:space="preserve">هویت Hidden by Default</t>
        </is>
      </c>
      <c r="D41" s="0" t="inlineStr">
        <is>
          <t xml:space="preserve">نام و شماره کارمند در View عادی سامانه نمایش داده نشود، حتی برای مدیر سامانه؛ مشاهده هویت نیازمند اقدام مشخص و سطح دسترسی ویژه باشد.</t>
        </is>
      </c>
      <c r="E41" s="0" t="inlineStr">
        <is>
          <t xml:space="preserve">بازکردن Dashboard/لیست تماس‌ها هویت را به‌صورت Default نشان ندهد.</t>
        </is>
      </c>
      <c r="F41" s="7"/>
      <c r="G41" s="0" t="inlineStr">
        <is>
          <t xml:space="preserve">نیازمند توسعه / Customization</t>
        </is>
      </c>
      <c r="H41" s="6" t="inlineStr">
        <is>
          <t xml:space="preserve">غایب</t>
        </is>
      </c>
      <c r="I41" s="8" t="inlineStr">
        <is>
          <t xml:space="preserve">grep redact|mask|anonymi|deidentif در ۸ سرویس → صفر نتیجه</t>
        </is>
      </c>
      <c r="J41" s="10" t="inlineStr">
        <is>
          <t xml:space="preserve">قطعی</t>
        </is>
      </c>
      <c r="K41" s="0" t="inlineStr">
        <is>
          <t xml:space="preserve">MCINEXT</t>
        </is>
      </c>
      <c r="L41" s="0" t="inlineStr">
        <is>
          <t xml:space="preserve">T+10 روز کاری پس از تصمیم سیاست هویت</t>
        </is>
      </c>
      <c r="M41" s="6" t="inlineStr">
        <is>
          <t xml:space="preserve">هیچ لایه پنهان‌سازی هویت وجود ندارد</t>
        </is>
      </c>
      <c r="N41" s="9"/>
      <c r="O41" s="7"/>
    </row>
    <row r="42">
      <c r="A42" s="0" t="inlineStr">
        <is>
          <t xml:space="preserve">5. Privacy &amp; Access</t>
        </is>
      </c>
      <c r="B42" s="10" t="inlineStr">
        <is>
          <t xml:space="preserve">PRV-02</t>
        </is>
      </c>
      <c r="C42" s="0" t="inlineStr">
        <is>
          <t xml:space="preserve">دسترسی هویت فقط برای مدیر سامانه</t>
        </is>
      </c>
      <c r="D42" s="0" t="inlineStr">
        <is>
          <t xml:space="preserve">در Pilot تنها Role مدیر سامانه امکان Resolve کردن هویت را در صورت ضرورت داشته باشد؛ سایر کاربران EX چنین دسترسی نداشته باشند.</t>
        </is>
      </c>
      <c r="E42" s="0" t="inlineStr">
        <is>
          <t xml:space="preserve">کاربر غیرمدیر نتواند از UI، Export یا مسیر دیگر هویت را بازیابی کند.</t>
        </is>
      </c>
      <c r="F42" s="7"/>
      <c r="G42" s="0" t="inlineStr">
        <is>
          <t xml:space="preserve">نیازمند توسعه / Customization</t>
        </is>
      </c>
      <c r="H42" s="5" t="inlineStr">
        <is>
          <t xml:space="preserve">جزئی</t>
        </is>
      </c>
      <c r="I42" s="8" t="inlineStr">
        <is>
          <t xml:space="preserve">coa/apps/users/permissions.py (AnyOfPermission, HasPermission, PermissionGroup)</t>
        </is>
      </c>
      <c r="J42" s="10" t="inlineStr">
        <is>
          <t xml:space="preserve">قطعی</t>
        </is>
      </c>
      <c r="K42" s="0" t="inlineStr">
        <is>
          <t xml:space="preserve">MCINEXT</t>
        </is>
      </c>
      <c r="L42" s="0" t="inlineStr">
        <is>
          <t xml:space="preserve">T+10 روز کاری</t>
        </is>
      </c>
      <c r="M42" s="5" t="inlineStr">
        <is>
          <t xml:space="preserve">زیرساخت RBAC آماده است؛ Role «مدیر سامانه» و مسیر Resolve هویت ساخته نشده ⚠️ مسیر دوم: AQA روی ClickHouse Query آزاد می‌زند و ممکن است user_num برگرداند؛ کاربر DB مخصوص AQA باید فقط به View بدون ستون هویتی دسترسی داشته باشد.</t>
        </is>
      </c>
      <c r="N42" s="9"/>
      <c r="O42" s="7"/>
    </row>
    <row r="43">
      <c r="A43" s="0" t="inlineStr">
        <is>
          <t xml:space="preserve">5. Privacy &amp; Access</t>
        </is>
      </c>
      <c r="B43" s="10" t="inlineStr">
        <is>
          <t xml:space="preserve">PRV-03</t>
        </is>
      </c>
      <c r="C43" s="0" t="inlineStr">
        <is>
          <t xml:space="preserve">Raw Call فقط برای مدیر سامانه</t>
        </is>
      </c>
      <c r="D43" s="0" t="inlineStr">
        <is>
          <t xml:space="preserve">فایل صوتی خام تماس فقط برای مدیر سامانه و در صورت نیاز عملیاتی/بازبینی قابل دسترسی باشد.</t>
        </is>
      </c>
      <c r="E43" s="0" t="inlineStr">
        <is>
          <t xml:space="preserve">هیچ View مدیریتی یا کاربر عادی امکان Play/Download صوت خام نداشته باشد.</t>
        </is>
      </c>
      <c r="F43" s="7"/>
      <c r="G43" s="0" t="inlineStr">
        <is>
          <t xml:space="preserve">موجود در محصول</t>
        </is>
      </c>
      <c r="H43" s="4" t="inlineStr">
        <is>
          <t xml:space="preserve">رد شد (نقص امنیتی بحرانی)</t>
        </is>
      </c>
      <c r="I43" s="8" t="inlineStr">
        <is>
          <t xml:space="preserve">coa/apps/files/views.py:19 → @with_permissions({view_calls}) سپس minio.download(name) بدون بررسی مالکیت</t>
        </is>
      </c>
      <c r="J43" s="10" t="inlineStr">
        <is>
          <t xml:space="preserve">قطعی</t>
        </is>
      </c>
      <c r="K43" s="0" t="inlineStr">
        <is>
          <t xml:space="preserve">MCINEXT</t>
        </is>
      </c>
      <c r="L43" s="0" t="inlineStr">
        <is>
          <t xml:space="preserve">⛔ پیش از UAT — T+3 روز کاری</t>
        </is>
      </c>
      <c r="M43" s="4" t="inlineStr">
        <is>
          <t xml:space="preserve">⚠️⚠️ IDOR: هر کاربر دارای view_calls می‌تواند با دادن نام فایل، صوت هر تماسی را دانلود کند. نام فایل از call_id مشتق می‌شود (services/call.py). این ردیف «موجود» علامت خورده و نیست</t>
        </is>
      </c>
      <c r="N43" s="9"/>
      <c r="O43" s="7"/>
    </row>
    <row r="44">
      <c r="A44" s="0" t="inlineStr">
        <is>
          <t xml:space="preserve">5. Privacy &amp; Access</t>
        </is>
      </c>
      <c r="B44" s="10" t="inlineStr">
        <is>
          <t xml:space="preserve">PRV-04</t>
        </is>
      </c>
      <c r="C44" s="0" t="inlineStr">
        <is>
          <t xml:space="preserve">خروجی مدیران به‌صورت Aggregate</t>
        </is>
      </c>
      <c r="D44" s="0" t="inlineStr">
        <is>
          <t xml:space="preserve">اگر خروجی به مدیران ارائه می‌شود، صرفاً تحلیل تجمیعی، Trend، Theme و Summary غیرهویتی نمایش داده شود؛ نه هویت فردی یا Raw Call.</t>
        </is>
      </c>
      <c r="E44" s="0" t="inlineStr">
        <is>
          <t xml:space="preserve">نمونه گزارش ارائه‌شده به مدیر فاقد نام، شماره و صوت فردی باشد.</t>
        </is>
      </c>
      <c r="F44" s="7"/>
      <c r="G44" s="0" t="inlineStr">
        <is>
          <t xml:space="preserve">موجود در محصول</t>
        </is>
      </c>
      <c r="H44" s="3" t="inlineStr">
        <is>
          <t xml:space="preserve">تأییدشده</t>
        </is>
      </c>
      <c r="I44" s="8" t="inlineStr">
        <is>
          <t xml:space="preserve">dashboard endpoints تجمیعی (coa/apps/iva, coa/apps/main/views)</t>
        </is>
      </c>
      <c r="J44" s="10" t="inlineStr">
        <is>
          <t xml:space="preserve">محتمل</t>
        </is>
      </c>
      <c r="K44" s="0" t="inlineStr">
        <is>
          <t xml:space="preserve">MCINEXT</t>
        </is>
      </c>
      <c r="L44" s="0" t="inlineStr">
        <is>
          <t xml:space="preserve">T+3 روز کاری برای بازبینی Export</t>
        </is>
      </c>
      <c r="M44" s="3" t="inlineStr">
        <is>
          <t xml:space="preserve">گزارش‌های تجمیعی درست است، اما Export و Drill-down باید از نظر فیلد هویتی بازبینی شود</t>
        </is>
      </c>
      <c r="N44" s="9"/>
      <c r="O44" s="7"/>
    </row>
    <row r="45">
      <c r="A45" s="0" t="inlineStr">
        <is>
          <t xml:space="preserve">5. Privacy &amp; Access</t>
        </is>
      </c>
      <c r="B45" s="10" t="inlineStr">
        <is>
          <t xml:space="preserve">PRV-05</t>
        </is>
      </c>
      <c r="C45" s="0" t="inlineStr">
        <is>
          <t xml:space="preserve">Minimum Group Size / Privacy Suppression</t>
        </is>
      </c>
      <c r="D45" s="0" t="inlineStr">
        <is>
          <t xml:space="preserve">برای جلوگیری از شناسایی افراد در Segmentهای کوچک، حداقل تعداد لازم برای نمایش Drill-down یا Breakdown قابل تنظیم باشد.</t>
        </is>
      </c>
      <c r="E45" s="0" t="inlineStr">
        <is>
          <t xml:space="preserve">فیلترهایی که گروه بسیار کوچک می‌سازند داده جزئی نمایش ندهند.</t>
        </is>
      </c>
      <c r="F45" s="7"/>
      <c r="G45" s="0" t="inlineStr">
        <is>
          <t xml:space="preserve">نیازمند توسعه / Customization</t>
        </is>
      </c>
      <c r="H45" s="6" t="inlineStr">
        <is>
          <t xml:space="preserve">غایب</t>
        </is>
      </c>
      <c r="I45" s="8" t="inlineStr">
        <is>
          <t xml:space="preserve">grep min_count|k_anon|suppress → فقط contextlib.suppress بی‌ربط</t>
        </is>
      </c>
      <c r="J45" s="10" t="inlineStr">
        <is>
          <t xml:space="preserve">قطعی</t>
        </is>
      </c>
      <c r="K45" s="0" t="inlineStr">
        <is>
          <t xml:space="preserve">مشترک</t>
        </is>
      </c>
      <c r="L45" s="0" t="inlineStr">
        <is>
          <t xml:space="preserve">T+7 روز کاری پس از تعیین حد k توسط EX</t>
        </is>
      </c>
      <c r="M45" s="6" t="inlineStr">
        <is>
          <t xml:space="preserve">هیچ Suppression گروه کوچک وجود ندارد</t>
        </is>
      </c>
      <c r="N45" s="9" t="inlineStr">
        <is>
          <t xml:space="preserve">نیازمند تعریف دقیق تر</t>
        </is>
      </c>
      <c r="O45" s="7"/>
    </row>
    <row r="46">
      <c r="A46" s="0" t="inlineStr">
        <is>
          <t xml:space="preserve">5. Privacy &amp; Access</t>
        </is>
      </c>
      <c r="B46" s="10" t="inlineStr">
        <is>
          <t xml:space="preserve">PRV-06</t>
        </is>
      </c>
      <c r="C46" s="0" t="inlineStr">
        <is>
          <t xml:space="preserve">ثبت Audit دسترسی به هویت/صوت</t>
        </is>
      </c>
      <c r="D46" s="0" t="inlineStr">
        <is>
          <t xml:space="preserve">هر بار که مدیر سامانه هویت یا Raw Call را مشاهده می‌کند، کاربر، زمان و رکورد موردنظر Log شود.</t>
        </is>
      </c>
      <c r="E46" s="0" t="inlineStr">
        <is>
          <t xml:space="preserve">یک دسترسی آزمایشی انجام و Audit Event قابل بازیابی باشد.</t>
        </is>
      </c>
      <c r="F46" s="7"/>
      <c r="G46" s="0" t="inlineStr">
        <is>
          <t xml:space="preserve">موجود در محصول</t>
        </is>
      </c>
      <c r="H46" s="4" t="inlineStr">
        <is>
          <t xml:space="preserve">رد شد</t>
        </is>
      </c>
      <c r="I46" s="8" t="inlineStr">
        <is>
          <t xml:space="preserve">grep audit|LogEntry|access_log|viewed_by|actor_id در coa-api, adcs, aiva, adcs-auth, aqa, agentlib و هر دو KB → صفر نتیجه</t>
        </is>
      </c>
      <c r="J46" s="10" t="inlineStr">
        <is>
          <t xml:space="preserve">قطعی</t>
        </is>
      </c>
      <c r="K46" s="0" t="inlineStr">
        <is>
          <t xml:space="preserve">MCINEXT</t>
        </is>
      </c>
      <c r="L46" s="0" t="inlineStr">
        <is>
          <t xml:space="preserve">T+10 روز کاری</t>
        </is>
      </c>
      <c r="M46" s="4" t="inlineStr">
        <is>
          <t xml:space="preserve">⚠️ Audit Log وجود ندارد. آنچه هست coa/middlewares.py:26 (لاگ method/path/headers) است که Audit Trail قابل کوئری نیست</t>
        </is>
      </c>
      <c r="N46" s="9"/>
      <c r="O46" s="7"/>
    </row>
    <row r="47">
      <c r="A47" s="0" t="inlineStr">
        <is>
          <t xml:space="preserve">5. Privacy &amp; Access</t>
        </is>
      </c>
      <c r="B47" s="10" t="inlineStr">
        <is>
          <t xml:space="preserve">PRV-07</t>
        </is>
      </c>
      <c r="C47" s="0" t="inlineStr">
        <is>
          <t xml:space="preserve">Retention Policy صوت</t>
        </is>
      </c>
      <c r="D47" s="0" t="inlineStr">
        <is>
          <t xml:space="preserve">مدت نگهداری فایل صوتی خام مشخص و قابل اعمال باشد؛ نگهداری نامحدود صرفاً به دلیل امکان فنی انجام نشود.</t>
        </is>
      </c>
      <c r="E47" s="0" t="inlineStr">
        <is>
          <t xml:space="preserve">Policy توافق‌شده بتواند روی رکوردهای Pilot اعمال و حذف/آرشیو آن قابل اثبات باشد.</t>
        </is>
      </c>
      <c r="F47" s="7"/>
      <c r="G47" s="0" t="inlineStr">
        <is>
          <t xml:space="preserve">موجود در محصول</t>
        </is>
      </c>
      <c r="H47" s="3" t="inlineStr">
        <is>
          <t xml:space="preserve">تأییدشده</t>
        </is>
      </c>
      <c r="I47" s="8" t="inlineStr">
        <is>
          <t xml:space="preserve">coa/apps/main/management/commands/archive_old_calls.py (ARCHIVE_CALLS_MONTHS, pg_dump → MinIO → delete → VACUUM، با abort-on-failure و --dry-run)</t>
        </is>
      </c>
      <c r="J47" s="10" t="inlineStr">
        <is>
          <t xml:space="preserve">قطعی</t>
        </is>
      </c>
      <c r="K47" s="0" t="inlineStr">
        <is>
          <t xml:space="preserve">—</t>
        </is>
      </c>
      <c r="L47" s="0" t="inlineStr">
        <is>
          <t xml:space="preserve">—</t>
        </is>
      </c>
      <c r="M47" s="3" t="inlineStr">
        <is>
          <t xml:space="preserve">✅ طراحی Retention درست و قابل اثبات است</t>
        </is>
      </c>
      <c r="N47" s="9"/>
      <c r="O47" s="7"/>
    </row>
    <row r="48">
      <c r="A48" s="0" t="inlineStr">
        <is>
          <t xml:space="preserve">5. Privacy &amp; Access</t>
        </is>
      </c>
      <c r="B48" s="10" t="inlineStr">
        <is>
          <t xml:space="preserve">PRV-08</t>
        </is>
      </c>
      <c r="C48" s="0" t="inlineStr">
        <is>
          <t xml:space="preserve">Retention Policy Transcript و داده تحلیلی</t>
        </is>
      </c>
      <c r="D48" s="0" t="inlineStr">
        <is>
          <t xml:space="preserve">مدت نگهداری Transcript و داده ساختاریافته مستقل از Audio قابل تعریف باشد تا نیاز تحلیلی و محرمانگی متوازن شود.</t>
        </is>
      </c>
      <c r="E48" s="0" t="inlineStr">
        <is>
          <t xml:space="preserve">Retention هر نوع داده در مستند فنی مشخص شود.</t>
        </is>
      </c>
      <c r="F48" s="7"/>
      <c r="G48" s="0" t="inlineStr">
        <is>
          <t xml:space="preserve">فعلاً خارج از Scope</t>
        </is>
      </c>
      <c r="H48" s="5" t="inlineStr">
        <is>
          <t xml:space="preserve">رد شد (واقعیت بهتر از ادعا)</t>
        </is>
      </c>
      <c r="I48" s="8" t="inlineStr">
        <is>
          <t xml:space="preserve">همان archive_old_calls: جدول call_ai_tags (شامل raw_input و call_summary) هم آرشیو و حذف می‌شود</t>
        </is>
      </c>
      <c r="J48" s="10" t="inlineStr">
        <is>
          <t xml:space="preserve">قطعی</t>
        </is>
      </c>
      <c r="K48" s="0" t="inlineStr">
        <is>
          <t xml:space="preserve">MCINEXT</t>
        </is>
      </c>
      <c r="L48" s="0" t="inlineStr">
        <is>
          <t xml:space="preserve">T+2 روز کاری برای مستندسازی</t>
        </is>
      </c>
      <c r="M48" s="5" t="inlineStr">
        <is>
          <t xml:space="preserve">⚠️ دلیل ذکرشده («عدم ارائه transcribe») نادرست است. Retention داده ساختاریافته عملاً پیاده شده — این را مطالبه کنید</t>
        </is>
      </c>
      <c r="N48" s="9" t="inlineStr">
        <is>
          <t xml:space="preserve">به دلیل عدم ارائه transcribe، موضوعیت ندارد.</t>
        </is>
      </c>
      <c r="O48" s="7"/>
    </row>
    <row r="49">
      <c r="A49" s="0" t="inlineStr">
        <is>
          <t xml:space="preserve">5. Privacy &amp; Access</t>
        </is>
      </c>
      <c r="B49" s="10" t="inlineStr">
        <is>
          <t xml:space="preserve">PRV-09</t>
        </is>
      </c>
      <c r="C49" s="0" t="inlineStr">
        <is>
          <t xml:space="preserve">PII Detection / Redaction در خروجی‌ها</t>
        </is>
      </c>
      <c r="D49" s="0" t="inlineStr">
        <is>
          <t xml:space="preserve">اگر کارمند در متن نام فرد دیگری یا جزئیات قابل‌شناسایی را بیان کرد، Output مدیریتی بتواند نسخه De-identified/Redacted ارائه دهد.</t>
        </is>
      </c>
      <c r="E49" s="0" t="inlineStr">
        <is>
          <t xml:space="preserve">سناریوی دارای نام شخص در Manager-facing Summary بدون PII نمایش داده شود.</t>
        </is>
      </c>
      <c r="F49" s="7"/>
      <c r="G49" s="0" t="inlineStr">
        <is>
          <t xml:space="preserve">نیازمند توسعه / Customization</t>
        </is>
      </c>
      <c r="H49" s="6" t="inlineStr">
        <is>
          <t xml:space="preserve">غایب</t>
        </is>
      </c>
      <c r="I49" s="8" t="inlineStr">
        <is>
          <t xml:space="preserve">صفر کد redaction/PII</t>
        </is>
      </c>
      <c r="J49" s="10" t="inlineStr">
        <is>
          <t xml:space="preserve">قطعی</t>
        </is>
      </c>
      <c r="K49" s="0" t="inlineStr">
        <is>
          <t xml:space="preserve">MCINEXT</t>
        </is>
      </c>
      <c r="L49" s="0" t="inlineStr">
        <is>
          <t xml:space="preserve">T+15 روز کاری</t>
        </is>
      </c>
      <c r="M49" s="6" t="inlineStr">
        <is>
          <t xml:space="preserve">کاملاً Greenfield</t>
        </is>
      </c>
      <c r="N49" s="9"/>
      <c r="O49" s="7"/>
    </row>
    <row r="50">
      <c r="A50" s="0" t="inlineStr">
        <is>
          <t xml:space="preserve">5. Privacy &amp; Access</t>
        </is>
      </c>
      <c r="B50" s="10" t="inlineStr">
        <is>
          <t xml:space="preserve">PRV-10</t>
        </is>
      </c>
      <c r="C50" s="0" t="inlineStr">
        <is>
          <t xml:space="preserve">Sensitive Voice Detection و جداسازی</t>
        </is>
      </c>
      <c r="D50" s="0" t="inlineStr">
        <is>
          <t xml:space="preserve">محتوای بالقوه حساس مانند آزار، تبعیض، تهدید یا تخلف از جریان عادی Dashboard/Alert جدا شود و دسترسی آن محدود باشد.</t>
        </is>
      </c>
      <c r="E50" s="0" t="inlineStr">
        <is>
          <t xml:space="preserve">سناریوی حساس در Dashboard عمومی با Transcript خام ظاهر نشود.</t>
        </is>
      </c>
      <c r="F50" s="7"/>
      <c r="G50" s="0" t="inlineStr">
        <is>
          <t xml:space="preserve">نیازمند توسعه / Customization</t>
        </is>
      </c>
      <c r="H50" s="5" t="inlineStr">
        <is>
          <t xml:space="preserve">جزئی</t>
        </is>
      </c>
      <c r="I50" s="8" t="inlineStr">
        <is>
          <t xml:space="preserve">coa/apps/main/models.py:346-348 (user_bad_words, agent_bad_words, *_meta)</t>
        </is>
      </c>
      <c r="J50" s="10" t="inlineStr">
        <is>
          <t xml:space="preserve">قطعی</t>
        </is>
      </c>
      <c r="K50" s="0" t="inlineStr">
        <is>
          <t xml:space="preserve">MCINEXT</t>
        </is>
      </c>
      <c r="L50" s="0" t="inlineStr">
        <is>
          <t xml:space="preserve">T+20 روز کاری</t>
        </is>
      </c>
      <c r="M50" s="5" t="inlineStr">
        <is>
          <t xml:space="preserve">فقط «الفاظ نامناسب» تشخیص داده می‌شود. آزار، تبعیض و تهدید تشخیص داده نمی‌شود. هرگز عدد Recall نسنجیده اعلام نکنید</t>
        </is>
      </c>
      <c r="N50" s="9"/>
      <c r="O50" s="7"/>
    </row>
    <row r="51">
      <c r="A51" s="0" t="inlineStr">
        <is>
          <t xml:space="preserve">5. Privacy &amp; Access</t>
        </is>
      </c>
      <c r="B51" s="10" t="inlineStr">
        <is>
          <t xml:space="preserve">PRV-11</t>
        </is>
      </c>
      <c r="C51" s="0" t="inlineStr">
        <is>
          <t xml:space="preserve">تفکیک دسترسی فنی از دسترسی محتوایی</t>
        </is>
      </c>
      <c r="D51" s="0" t="inlineStr">
        <is>
          <t xml:space="preserve">داشتن دسترسی Technical Admin به زیرساخت نباید به‌صورت پیش‌فرض معادل دسترسی آزاد به محتوای کارکنان باشد.</t>
        </is>
      </c>
      <c r="E51" s="0" t="inlineStr">
        <is>
          <t xml:space="preserve">Roleهای فنی و محتوایی در معماری دسترسی قابل تفکیک باشند.</t>
        </is>
      </c>
      <c r="F51" s="7"/>
      <c r="G51" s="0" t="inlineStr">
        <is>
          <t xml:space="preserve">موجود در محصول</t>
        </is>
      </c>
      <c r="H51" s="3" t="inlineStr">
        <is>
          <t xml:space="preserve">تأییدشده</t>
        </is>
      </c>
      <c r="I51" s="8" t="inlineStr">
        <is>
          <t xml:space="preserve">python/adcs-auth (صدور توکن) + permission-based RBAC در همه سرویس‌ها</t>
        </is>
      </c>
      <c r="J51" s="10" t="inlineStr">
        <is>
          <t xml:space="preserve">قطعی</t>
        </is>
      </c>
      <c r="K51" s="0" t="inlineStr">
        <is>
          <t xml:space="preserve">—</t>
        </is>
      </c>
      <c r="L51" s="0" t="inlineStr">
        <is>
          <t xml:space="preserve">—</t>
        </is>
      </c>
      <c r="M51" s="3" t="inlineStr">
        <is>
          <t xml:space="preserve">⚠️ adcs-auth صفر فایل تست دارد در حالی که مرجع احراز هویت همه سرویس‌هاست ⚠️ Chat APIهای aiva و adcs همه permission_classes=() هستند؛ امنیت به Gateway سپرده شده.</t>
        </is>
      </c>
      <c r="N51" s="9"/>
      <c r="O51" s="7"/>
    </row>
    <row r="52">
      <c r="A52" s="0" t="inlineStr">
        <is>
          <t xml:space="preserve">6. Knowledge Base Pilot</t>
        </is>
      </c>
      <c r="B52" s="10" t="inlineStr">
        <is>
          <t xml:space="preserve">KB-01</t>
        </is>
      </c>
      <c r="C52" s="0" t="inlineStr">
        <is>
          <t xml:space="preserve">Scope Knowledge فقط اداره خودمان</t>
        </is>
      </c>
      <c r="D52" s="0" t="inlineStr">
        <is>
          <t xml:space="preserve">در MVP فقط Knowledge مربوط به اداره ارتباطات و تجربه کارکنان وارد شود تا نیاز به Multi-owner Access و Governance پیچیده ایجاد نشود.</t>
        </is>
      </c>
      <c r="E52" s="0" t="inlineStr">
        <is>
          <t xml:space="preserve">AI فقط در Domainهای تأییدشده اداره پاسخ محتوایی بدهد.</t>
        </is>
      </c>
      <c r="F52" s="7"/>
      <c r="G52" s="0" t="inlineStr">
        <is>
          <t xml:space="preserve">موجود در محصول</t>
        </is>
      </c>
      <c r="H52" s="3" t="inlineStr">
        <is>
          <t xml:space="preserve">تأییدشده</t>
        </is>
      </c>
      <c r="I52" s="8" t="inlineStr">
        <is>
          <t xml:space="preserve">adcs_kb/knowledgebase/api.py (/qa, /list_qa, /question, /answer)</t>
        </is>
      </c>
      <c r="J52" s="10" t="inlineStr">
        <is>
          <t xml:space="preserve">قطعی</t>
        </is>
      </c>
      <c r="K52" s="0" t="inlineStr">
        <is>
          <t xml:space="preserve">—</t>
        </is>
      </c>
      <c r="L52" s="0" t="inlineStr">
        <is>
          <t xml:space="preserve">—</t>
        </is>
      </c>
      <c r="M52" s="3" t="inlineStr">
        <is>
          <t xml:space="preserve">ورود سؤال/پاسخ از پنل</t>
        </is>
      </c>
      <c r="N52" s="9" t="inlineStr">
        <is>
          <t xml:space="preserve">ورود اطلاعات از طریق پنل به صورت سوال و پاسخ ممکن است.</t>
        </is>
      </c>
      <c r="O52" s="7"/>
    </row>
    <row r="53">
      <c r="A53" s="0" t="inlineStr">
        <is>
          <t xml:space="preserve">6. Knowledge Base Pilot</t>
        </is>
      </c>
      <c r="B53" s="10" t="inlineStr">
        <is>
          <t xml:space="preserve">KB-02</t>
        </is>
      </c>
      <c r="C53" s="0" t="inlineStr">
        <is>
          <t xml:space="preserve">Seed Content تأییدشده</t>
        </is>
      </c>
      <c r="D53" s="0" t="inlineStr">
        <is>
          <t xml:space="preserve">تیم EX مجموعه اولیه سؤال/جواب، فرایند، لینک و اطلاعات خدمت را به‌عنوان Source of Truth آماده و تحویل دهد.</t>
        </is>
      </c>
      <c r="E53" s="0" t="inlineStr">
        <is>
          <t xml:space="preserve">محتوای بارگذاری‌شده دارای Owner و نسخه تأییدشده باشد.</t>
        </is>
      </c>
      <c r="F53" s="7"/>
      <c r="G53" s="0"/>
      <c r="H53" s="0" t="inlineStr">
        <is>
          <t xml:space="preserve">خارج از کد</t>
        </is>
      </c>
      <c r="I53" s="8" t="inlineStr">
        <is>
          <t xml:space="preserve">adcs_kb /import موجود است</t>
        </is>
      </c>
      <c r="J53" s="10" t="inlineStr">
        <is>
          <t xml:space="preserve">قطعی</t>
        </is>
      </c>
      <c r="K53" s="0" t="inlineStr">
        <is>
          <t xml:space="preserve">EX</t>
        </is>
      </c>
      <c r="L53" s="0" t="inlineStr">
        <is>
          <t xml:space="preserve">T+0 (تحویل EX)</t>
        </is>
      </c>
      <c r="M53" s="0" t="inlineStr">
        <is>
          <t xml:space="preserve">ستون وضعیت در توافق خالی است</t>
        </is>
      </c>
      <c r="N53" s="9"/>
      <c r="O53" s="7"/>
    </row>
    <row r="54">
      <c r="A54" s="0" t="inlineStr">
        <is>
          <t xml:space="preserve">6. Knowledge Base Pilot</t>
        </is>
      </c>
      <c r="B54" s="10" t="inlineStr">
        <is>
          <t xml:space="preserve">KB-03</t>
        </is>
      </c>
      <c r="C54" s="0" t="inlineStr">
        <is>
          <t xml:space="preserve">پاسخ مبتنی بر Source معتبر</t>
        </is>
      </c>
      <c r="D54" s="0" t="inlineStr">
        <is>
          <t xml:space="preserve">AI پاسخ را از Knowledge بارگذاری‌شده تولید کند و از ساختن سیاست، شماره یا فرایند خارج از منابع جلوگیری شود.</t>
        </is>
      </c>
      <c r="E54" s="0" t="inlineStr">
        <is>
          <t xml:space="preserve">سؤال دارای پاسخ در Knowledge پاسخ صحیح و هم‌راستا با Source دریافت کند.</t>
        </is>
      </c>
      <c r="F54" s="7"/>
      <c r="G54" s="0" t="inlineStr">
        <is>
          <t xml:space="preserve">موجود در محصول</t>
        </is>
      </c>
      <c r="H54" s="3" t="inlineStr">
        <is>
          <t xml:space="preserve">تأییدشده</t>
        </is>
      </c>
      <c r="I54" s="8" t="inlineStr">
        <is>
          <t xml:space="preserve">aiva/retrieve/qdrant.py; aiva/chat/config.py (CONTEXTS_COLLECTION_NAME, CONTEXT_RETRIEVE_THRESHOLD=0.5)</t>
        </is>
      </c>
      <c r="J54" s="10" t="inlineStr">
        <is>
          <t xml:space="preserve">قطعی</t>
        </is>
      </c>
      <c r="K54" s="0" t="inlineStr">
        <is>
          <t xml:space="preserve">—</t>
        </is>
      </c>
      <c r="L54" s="0" t="inlineStr">
        <is>
          <t xml:space="preserve">—</t>
        </is>
      </c>
      <c r="M54" s="3" t="inlineStr">
        <is>
          <t xml:space="preserve">RAG با آستانه شباهت قابل تنظیم</t>
        </is>
      </c>
      <c r="N54" s="9"/>
      <c r="O54" s="7"/>
    </row>
    <row r="55">
      <c r="A55" s="0" t="inlineStr">
        <is>
          <t xml:space="preserve">6. Knowledge Base Pilot</t>
        </is>
      </c>
      <c r="B55" s="10" t="inlineStr">
        <is>
          <t xml:space="preserve">KB-04</t>
        </is>
      </c>
      <c r="C55" s="0" t="inlineStr">
        <is>
          <t xml:space="preserve">Guardrail محدوده پاسخ</t>
        </is>
      </c>
      <c r="D55" s="0" t="inlineStr">
        <is>
          <t xml:space="preserve">Agent بداند چه موضوعاتی داخل Domain پایلوت است و در خارج از آن پاسخ قطعی سازمانی تولید نکند.</t>
        </is>
      </c>
      <c r="E55" s="0" t="inlineStr">
        <is>
          <t xml:space="preserve">سؤال خارج از Scope با پاسخ کنترل‌شده مواجه شود، نه پاسخ ساختگی.</t>
        </is>
      </c>
      <c r="F55" s="7"/>
      <c r="G55" s="0" t="inlineStr">
        <is>
          <t xml:space="preserve">نیازمند تنظیم / Configuration</t>
        </is>
      </c>
      <c r="H55" s="0" t="inlineStr">
        <is>
          <t xml:space="preserve">تنظیم</t>
        </is>
      </c>
      <c r="I55" s="8" t="inlineStr">
        <is>
          <t xml:space="preserve">aiva/prompts/guardrail.py; GUARDRAIL_COLLECTION_NAME + GUARDRAIL_RETRIEVE_COUNT; adcs_kb /guardrail</t>
        </is>
      </c>
      <c r="J55" s="10" t="inlineStr">
        <is>
          <t xml:space="preserve">قطعی</t>
        </is>
      </c>
      <c r="K55" s="0" t="inlineStr">
        <is>
          <t xml:space="preserve">EX (مستند)</t>
        </is>
      </c>
      <c r="L55" s="0" t="inlineStr">
        <is>
          <t xml:space="preserve">T+5 روز کاری پس از دریافت مستند EX</t>
        </is>
      </c>
      <c r="M55" s="0" t="inlineStr">
        <is>
          <t xml:space="preserve">Guardrail مبتنی بر مثال در Qdrant — با داده تنظیم می‌شود نه کد</t>
        </is>
      </c>
      <c r="N55" s="9" t="inlineStr">
        <is>
          <t xml:space="preserve">بر اساس مستند ارائه شده توسط EX تعریف می‌گردد.</t>
        </is>
      </c>
      <c r="O55" s="7"/>
    </row>
    <row r="56">
      <c r="A56" s="0" t="inlineStr">
        <is>
          <t xml:space="preserve">6. Knowledge Base Pilot</t>
        </is>
      </c>
      <c r="B56" s="10" t="inlineStr">
        <is>
          <t xml:space="preserve">KB-05</t>
        </is>
      </c>
      <c r="C56" s="0" t="inlineStr">
        <is>
          <t xml:space="preserve">I Don't Know / پاسخ ناموجود</t>
        </is>
      </c>
      <c r="D56" s="0" t="inlineStr">
        <is>
          <t xml:space="preserve">وقتی Knowledge پاسخ معتبر ندارد، AI صریحاً اعلام کند اطلاعات کافی ندارد و در صورت تعریف، مرجع جایگزین معرفی کند.</t>
        </is>
      </c>
      <c r="E56" s="0" t="inlineStr">
        <is>
          <t xml:space="preserve">سناریوی سؤال بدون پاسخ در Knowledge بدون Hallucination مدیریت شود.</t>
        </is>
      </c>
      <c r="F56" s="7"/>
      <c r="G56" s="0" t="inlineStr">
        <is>
          <t xml:space="preserve">موجود در محصول</t>
        </is>
      </c>
      <c r="H56" s="3" t="inlineStr">
        <is>
          <t xml:space="preserve">تأییدشده</t>
        </is>
      </c>
      <c r="I56" s="8" t="inlineStr">
        <is>
          <t xml:space="preserve">aiva/prompts/guardrail.py + شاخه clarifying در orchestrator</t>
        </is>
      </c>
      <c r="J56" s="10" t="inlineStr">
        <is>
          <t xml:space="preserve">محتمل</t>
        </is>
      </c>
      <c r="K56" s="0" t="inlineStr">
        <is>
          <t xml:space="preserve">—</t>
        </is>
      </c>
      <c r="L56" s="0" t="inlineStr">
        <is>
          <t xml:space="preserve">—</t>
        </is>
      </c>
      <c r="M56" s="3" t="inlineStr">
        <is>
          <t xml:space="preserve">رفتار «نمی‌دانم» در Prompt هست؛ با Golden Set تأیید شود</t>
        </is>
      </c>
      <c r="N56" s="9"/>
      <c r="O56" s="7"/>
    </row>
    <row r="57">
      <c r="A57" s="0" t="inlineStr">
        <is>
          <t xml:space="preserve">6. Knowledge Base Pilot</t>
        </is>
      </c>
      <c r="B57" s="10" t="inlineStr">
        <is>
          <t xml:space="preserve">KB-06</t>
        </is>
      </c>
      <c r="C57" s="0" t="inlineStr">
        <is>
          <t xml:space="preserve">ارسال لینک/اطلاعات با پیامک</t>
        </is>
      </c>
      <c r="D57" s="0" t="inlineStr">
        <is>
          <t xml:space="preserve">در موارد مناسب AI بتواند لینک، اطلاعات تماس یا خلاصه موردنیاز را از طریق پیامک برای تماس‌گیرنده ارسال کند.</t>
        </is>
      </c>
      <c r="E57" s="0" t="inlineStr">
        <is>
          <t xml:space="preserve">در یک سناریوی تست، لینک تأییدشده به شماره تماس‌گیرنده ارسال شود.</t>
        </is>
      </c>
      <c r="F57" s="7"/>
      <c r="G57" s="0" t="inlineStr">
        <is>
          <t xml:space="preserve">نیازمند توسعه / Customization</t>
        </is>
      </c>
      <c r="H57" s="3" t="inlineStr">
        <is>
          <t xml:space="preserve">تأییدشده (ارتقا از Customization)</t>
        </is>
      </c>
      <c r="I57" s="8" t="inlineStr">
        <is>
          <t xml:space="preserve">aiva/tools/sms.py (POST resan.mci.dev/api/messages/send/to/); در AGENT_ENABLED_TOOLS پیش‌فرض فعال؛ chatbot-iva-agent/src/utils/sms.py</t>
        </is>
      </c>
      <c r="J57" s="10" t="inlineStr">
        <is>
          <t xml:space="preserve">قطعی</t>
        </is>
      </c>
      <c r="K57" s="0" t="inlineStr">
        <is>
          <t xml:space="preserve">MCINEXT</t>
        </is>
      </c>
      <c r="L57" s="0" t="inlineStr">
        <is>
          <t xml:space="preserve">T+5 روز کاری برای Guardrail و Rate limit</t>
        </is>
      </c>
      <c r="M57" s="3" t="inlineStr">
        <is>
          <t xml:space="preserve">✅ ساخته شده. ⚠️ اما LLM خودش تصمیم ارسال می‌گیرد → پیش از پایلوت Rate limit و محدودسازی لازم است</t>
        </is>
      </c>
      <c r="N57" s="9" t="inlineStr">
        <is>
          <t xml:space="preserve">مشخص شدن سناریو‌های ارسال پیامک از طرف تیم EX و معرفی تیم فنی پیامکی به MCINEXT</t>
        </is>
      </c>
      <c r="O57" s="7"/>
    </row>
    <row r="58">
      <c r="A58" s="0" t="inlineStr">
        <is>
          <t xml:space="preserve">6. Knowledge Base Pilot</t>
        </is>
      </c>
      <c r="B58" s="10" t="inlineStr">
        <is>
          <t xml:space="preserve">KB-07</t>
        </is>
      </c>
      <c r="C58" s="0" t="inlineStr">
        <is>
          <t xml:space="preserve">ثبت سؤالات بدون پاسخ</t>
        </is>
      </c>
      <c r="D58" s="0" t="inlineStr">
        <is>
          <t xml:space="preserve">سؤال‌هایی که AI نتوانسته از Knowledge پاسخ دهد ثبت شوند تا تیم EX Gapهای دانشی را ببیند.</t>
        </is>
      </c>
      <c r="E58" s="0" t="inlineStr">
        <is>
          <t xml:space="preserve">لیست Unanswered Questions قابل استخراج باشد.</t>
        </is>
      </c>
      <c r="F58" s="7"/>
      <c r="G58" s="0" t="inlineStr">
        <is>
          <t xml:space="preserve">نیازمند بررسی فنی</t>
        </is>
      </c>
      <c r="H58" s="6" t="inlineStr">
        <is>
          <t xml:space="preserve">غایب</t>
        </is>
      </c>
      <c r="I58" s="8" t="inlineStr">
        <is>
          <t xml:space="preserve">grep unanswered|no_answer|dont_know → صفر نتیجه</t>
        </is>
      </c>
      <c r="J58" s="10" t="inlineStr">
        <is>
          <t xml:space="preserve">قطعی</t>
        </is>
      </c>
      <c r="K58" s="0" t="inlineStr">
        <is>
          <t xml:space="preserve">MCINEXT</t>
        </is>
      </c>
      <c r="L58" s="0" t="inlineStr">
        <is>
          <t xml:space="preserve">T+7 روز کاری</t>
        </is>
      </c>
      <c r="M58" s="6" t="inlineStr">
        <is>
          <t xml:space="preserve">«نیازمند بررسی فنی» را به آیتم توسعه برآوردشده ارتقا دهید</t>
        </is>
      </c>
      <c r="N58" s="9"/>
      <c r="O58" s="7"/>
    </row>
    <row r="59">
      <c r="A59" s="0" t="inlineStr">
        <is>
          <t xml:space="preserve">6. Knowledge Base Pilot</t>
        </is>
      </c>
      <c r="B59" s="10" t="inlineStr">
        <is>
          <t xml:space="preserve">KB-08</t>
        </is>
      </c>
      <c r="C59" s="0" t="inlineStr">
        <is>
          <t xml:space="preserve">FAQ / سؤال پرتکرار</t>
        </is>
      </c>
      <c r="D59" s="0" t="inlineStr">
        <is>
          <t xml:space="preserve">سیستم از روی مکالمات نشان دهد چه سؤال‌هایی پرتکرارند تا محتوای Knowledge و ارتباطات داخلی براساس نیاز واقعی بهبود یابد.</t>
        </is>
      </c>
      <c r="E59" s="0" t="inlineStr">
        <is>
          <t xml:space="preserve">Top Questions در یک بازه زمانی قابل مشاهده باشند.</t>
        </is>
      </c>
      <c r="F59" s="7"/>
      <c r="G59" s="0" t="inlineStr">
        <is>
          <t xml:space="preserve">نیازمند توسعه / Customization</t>
        </is>
      </c>
      <c r="H59" s="6" t="inlineStr">
        <is>
          <t xml:space="preserve">غایب</t>
        </is>
      </c>
      <c r="I59" s="8" t="inlineStr">
        <is>
          <t xml:space="preserve">—</t>
        </is>
      </c>
      <c r="J59" s="10" t="inlineStr">
        <is>
          <t xml:space="preserve">قطعی</t>
        </is>
      </c>
      <c r="K59" s="0" t="inlineStr">
        <is>
          <t xml:space="preserve">MCINEXT</t>
        </is>
      </c>
      <c r="L59" s="0" t="inlineStr">
        <is>
          <t xml:space="preserve">T+10 روز کاری</t>
        </is>
      </c>
      <c r="M59" s="6" t="inlineStr">
        <is>
          <t xml:space="preserve">قابل واگذاری به AQA با یک Query آماده</t>
        </is>
      </c>
      <c r="N59" s="9"/>
      <c r="O59" s="7"/>
    </row>
    <row r="60">
      <c r="A60" s="0" t="inlineStr">
        <is>
          <t xml:space="preserve">6. Knowledge Base Pilot</t>
        </is>
      </c>
      <c r="B60" s="10" t="inlineStr">
        <is>
          <t xml:space="preserve">KB-09</t>
        </is>
      </c>
      <c r="C60" s="0" t="inlineStr">
        <is>
          <t xml:space="preserve">مدیریت Knowledge توسط یک Scope محدود در Pilot</t>
        </is>
      </c>
      <c r="D60" s="0" t="inlineStr">
        <is>
          <t xml:space="preserve">در MVP نیاز به دسترسی چند Owner برای حوزه‌های مختلف نداریم؛ مدیریت Knowledge فقط توسط تیم/کاربر تعیین‌شده اداره تجربه انجام شود.</t>
        </is>
      </c>
      <c r="E60" s="0" t="inlineStr">
        <is>
          <t xml:space="preserve">هیچ Requirement توسعه Multi-owner مانع Launch Pilot نشود.</t>
        </is>
      </c>
      <c r="F60" s="7"/>
      <c r="G60" s="0" t="inlineStr">
        <is>
          <t xml:space="preserve">نیازمند توسعه / Customization</t>
        </is>
      </c>
      <c r="H60" s="3" t="inlineStr">
        <is>
          <t xml:space="preserve">تأییدشده (ارتقا)</t>
        </is>
      </c>
      <c r="I60" s="8" t="inlineStr">
        <is>
          <t xml:space="preserve">نوشتن در KB فقط از طریق API با اقدام انسانی</t>
        </is>
      </c>
      <c r="J60" s="10" t="inlineStr">
        <is>
          <t xml:space="preserve">قطعی</t>
        </is>
      </c>
      <c r="K60" s="0" t="inlineStr">
        <is>
          <t xml:space="preserve">—</t>
        </is>
      </c>
      <c r="L60" s="0" t="inlineStr">
        <is>
          <t xml:space="preserve">—</t>
        </is>
      </c>
      <c r="M60" s="3" t="inlineStr">
        <is>
          <t xml:space="preserve">این یک «محدودیت» است نه توسعه — برای نساختن چیزی هزینه نگیرید</t>
        </is>
      </c>
      <c r="N60" s="9"/>
      <c r="O60" s="7"/>
    </row>
    <row r="61">
      <c r="A61" s="0" t="inlineStr">
        <is>
          <t xml:space="preserve">6. Knowledge Base Pilot</t>
        </is>
      </c>
      <c r="B61" s="10" t="inlineStr">
        <is>
          <t xml:space="preserve">KB-10</t>
        </is>
      </c>
      <c r="C61" s="0" t="inlineStr">
        <is>
          <t xml:space="preserve">عدم Auto-update Knowledge در MVP</t>
        </is>
      </c>
      <c r="D61" s="0" t="inlineStr">
        <is>
          <t xml:space="preserve">AI می‌تواند Gapها را نشان دهد اما در نسخه اول حق تغییر خودکار Knowledge Base را نداشته باشد.</t>
        </is>
      </c>
      <c r="E61" s="0" t="inlineStr">
        <is>
          <t xml:space="preserve">هیچ تغییر Knowledge بدون اقدام/تأیید انسانی اعمال نشود.</t>
        </is>
      </c>
      <c r="F61" s="7"/>
      <c r="G61" s="0" t="inlineStr">
        <is>
          <t xml:space="preserve">نیازمند توسعه / Customization</t>
        </is>
      </c>
      <c r="H61" s="3" t="inlineStr">
        <is>
          <t xml:space="preserve">تأییدشده (ارتقا)</t>
        </is>
      </c>
      <c r="I61" s="8" t="inlineStr">
        <is>
          <t xml:space="preserve">هیچ مسیر auto-ingest/self-update در KB یافت نشد</t>
        </is>
      </c>
      <c r="J61" s="10" t="inlineStr">
        <is>
          <t xml:space="preserve">قطعی</t>
        </is>
      </c>
      <c r="K61" s="0" t="inlineStr">
        <is>
          <t xml:space="preserve">—</t>
        </is>
      </c>
      <c r="L61" s="0" t="inlineStr">
        <is>
          <t xml:space="preserve">—</t>
        </is>
      </c>
      <c r="M61" s="3" t="inlineStr">
        <is>
          <t xml:space="preserve">به‌صورت ساختاری برقرار است</t>
        </is>
      </c>
      <c r="N61" s="9"/>
      <c r="O61" s="7"/>
    </row>
    <row r="62">
      <c r="A62" s="0" t="inlineStr">
        <is>
          <t xml:space="preserve">7. Analytics &amp; Management View</t>
        </is>
      </c>
      <c r="B62" s="10" t="inlineStr">
        <is>
          <t xml:space="preserve">AN-01</t>
        </is>
      </c>
      <c r="C62" s="0" t="inlineStr">
        <is>
          <t xml:space="preserve">Full View برای EX / مدیر سامانه</t>
        </is>
      </c>
      <c r="D62" s="0" t="inlineStr">
        <is>
          <t xml:space="preserve">یک View کامل تحلیلی برای تعداد محدودی از کاربران EX یا مدیر سامانه ایجاد شود؛ در MVP نیاز به چند Dashboard تفکیک‌شده برای مدیران نداریم.</t>
        </is>
      </c>
      <c r="E62" s="0" t="inlineStr">
        <is>
          <t xml:space="preserve">کاربر مجاز EX بتواند کل داده Pilot را طبق قواعد Privacy تحلیل کند.</t>
        </is>
      </c>
      <c r="F62" s="7"/>
      <c r="G62" s="0" t="inlineStr">
        <is>
          <t xml:space="preserve">موجود در محصول</t>
        </is>
      </c>
      <c r="H62" s="3" t="inlineStr">
        <is>
          <t xml:space="preserve">تأییدشده</t>
        </is>
      </c>
      <c r="I62" s="8" t="inlineStr">
        <is>
          <t xml:space="preserve">coa/apps/main/views/*; coa/apps/iva/views.py; adcs/dashboard/api.py</t>
        </is>
      </c>
      <c r="J62" s="10" t="inlineStr">
        <is>
          <t xml:space="preserve">قطعی</t>
        </is>
      </c>
      <c r="K62" s="0" t="inlineStr">
        <is>
          <t xml:space="preserve">—</t>
        </is>
      </c>
      <c r="L62" s="0" t="inlineStr">
        <is>
          <t xml:space="preserve">—</t>
        </is>
      </c>
      <c r="M62" s="3" t="inlineStr">
        <is>
          <t xml:space="preserve">View کامل تحلیلی موجود</t>
        </is>
      </c>
      <c r="N62" s="9"/>
      <c r="O62" s="7"/>
    </row>
    <row r="63">
      <c r="A63" s="0" t="inlineStr">
        <is>
          <t xml:space="preserve">7. Analytics &amp; Management View</t>
        </is>
      </c>
      <c r="B63" s="10" t="inlineStr">
        <is>
          <t xml:space="preserve">AN-02</t>
        </is>
      </c>
      <c r="C63" s="0" t="inlineStr">
        <is>
          <t xml:space="preserve">حجم تماس و Voice Item</t>
        </is>
      </c>
      <c r="D63" s="0" t="inlineStr">
        <is>
          <t xml:space="preserve">Dashboard تعداد Conversationها و در صورت Segmentation، تعداد Voice Itemها را با بازه زمانی شفاف نمایش دهد.</t>
        </is>
      </c>
      <c r="E63" s="0" t="inlineStr">
        <is>
          <t xml:space="preserve">Count تماس و Voice Item با داده خام Pilot قابل تطبیق باشد.</t>
        </is>
      </c>
      <c r="F63" s="7"/>
      <c r="G63" s="0" t="inlineStr">
        <is>
          <t xml:space="preserve">موجود در محصول</t>
        </is>
      </c>
      <c r="H63" s="3" t="inlineStr">
        <is>
          <t xml:space="preserve">تأییدشده</t>
        </is>
      </c>
      <c r="I63" s="8" t="inlineStr">
        <is>
          <t xml:space="preserve">/analyse/dashboard/calls/report; /iva/dashboard/metrics; /iva/dashboard/time-buckets</t>
        </is>
      </c>
      <c r="J63" s="10" t="inlineStr">
        <is>
          <t xml:space="preserve">قطعی</t>
        </is>
      </c>
      <c r="K63" s="0" t="inlineStr">
        <is>
          <t xml:space="preserve">—</t>
        </is>
      </c>
      <c r="L63" s="0" t="inlineStr">
        <is>
          <t xml:space="preserve">—</t>
        </is>
      </c>
      <c r="M63" s="3"/>
      <c r="N63" s="9"/>
      <c r="O63" s="7"/>
    </row>
    <row r="64">
      <c r="A64" s="0" t="inlineStr">
        <is>
          <t xml:space="preserve">7. Analytics &amp; Management View</t>
        </is>
      </c>
      <c r="B64" s="10" t="inlineStr">
        <is>
          <t xml:space="preserve">AN-03</t>
        </is>
      </c>
      <c r="C64" s="0" t="inlineStr">
        <is>
          <t xml:space="preserve">Top Themes و Sub-themes</t>
        </is>
      </c>
      <c r="D64" s="0" t="inlineStr">
        <is>
          <t xml:space="preserve">موضوعات و زیرموضوعات پرتکرار با تعداد/سهم مشخص نمایش داده شوند.</t>
        </is>
      </c>
      <c r="E64" s="0" t="inlineStr">
        <is>
          <t xml:space="preserve">کاربر بتواند Top Themeها را برای بازه زمانی انتخاب‌شده ببیند.</t>
        </is>
      </c>
      <c r="F64" s="7"/>
      <c r="G64" s="0" t="inlineStr">
        <is>
          <t xml:space="preserve">موجود در محصول</t>
        </is>
      </c>
      <c r="H64" s="3" t="inlineStr">
        <is>
          <t xml:space="preserve">تأییدشده</t>
        </is>
      </c>
      <c r="I64" s="8" t="inlineStr">
        <is>
          <t xml:space="preserve">/analyse/calls/Thematic-analysis/{category,subcategory} + /enums</t>
        </is>
      </c>
      <c r="J64" s="10" t="inlineStr">
        <is>
          <t xml:space="preserve">قطعی</t>
        </is>
      </c>
      <c r="K64" s="0" t="inlineStr">
        <is>
          <t xml:space="preserve">—</t>
        </is>
      </c>
      <c r="L64" s="0" t="inlineStr">
        <is>
          <t xml:space="preserve">—</t>
        </is>
      </c>
      <c r="M64" s="3"/>
      <c r="N64" s="9"/>
      <c r="O64" s="7"/>
    </row>
    <row r="65">
      <c r="A65" s="0" t="inlineStr">
        <is>
          <t xml:space="preserve">7. Analytics &amp; Management View</t>
        </is>
      </c>
      <c r="B65" s="10" t="inlineStr">
        <is>
          <t xml:space="preserve">AN-04</t>
        </is>
      </c>
      <c r="C65" s="0" t="inlineStr">
        <is>
          <t xml:space="preserve">Trend و تغییر موضوعات</t>
        </is>
      </c>
      <c r="D65" s="0" t="inlineStr">
        <is>
          <t xml:space="preserve">Dashboard تغییر Themeها در طول زمان و موضوعات Rising/Stable/Falling را نشان دهد.</t>
        </is>
      </c>
      <c r="E65" s="0" t="inlineStr">
        <is>
          <t xml:space="preserve">یک Topic با افزایش واقعی نسبت به دوره پایه در Trend قابل تشخیص باشد.</t>
        </is>
      </c>
      <c r="F65" s="7"/>
      <c r="G65" s="0" t="inlineStr">
        <is>
          <t xml:space="preserve">موجود در محصول</t>
        </is>
      </c>
      <c r="H65" s="3" t="inlineStr">
        <is>
          <t xml:space="preserve">تأییدشده</t>
        </is>
      </c>
      <c r="I65" s="8" t="inlineStr">
        <is>
          <t xml:space="preserve">/trends/, /trends/categories/, /trends/subjects/&lt;id&gt;/</t>
        </is>
      </c>
      <c r="J65" s="10" t="inlineStr">
        <is>
          <t xml:space="preserve">قطعی</t>
        </is>
      </c>
      <c r="K65" s="0" t="inlineStr">
        <is>
          <t xml:space="preserve">—</t>
        </is>
      </c>
      <c r="L65" s="0" t="inlineStr">
        <is>
          <t xml:space="preserve">—</t>
        </is>
      </c>
      <c r="M65" s="3"/>
      <c r="N65" s="9"/>
      <c r="O65" s="7"/>
    </row>
    <row r="66">
      <c r="A66" s="0" t="inlineStr">
        <is>
          <t xml:space="preserve">7. Analytics &amp; Management View</t>
        </is>
      </c>
      <c r="B66" s="10" t="inlineStr">
        <is>
          <t xml:space="preserve">AN-05</t>
        </is>
      </c>
      <c r="C66" s="0" t="inlineStr">
        <is>
          <t xml:space="preserve">Positive / Negative Signals</t>
        </is>
      </c>
      <c r="D66" s="0" t="inlineStr">
        <is>
          <t xml:space="preserve">خروجی فقط شکایت‌محور نباشد و تجربه‌های مثبت نیز در کنار Signalهای منفی قابل مشاهده باشند.</t>
        </is>
      </c>
      <c r="E66" s="0" t="inlineStr">
        <is>
          <t xml:space="preserve">حداقل یک View/فیلتر برای Positive Signals وجود داشته باشد.</t>
        </is>
      </c>
      <c r="F66" s="7"/>
      <c r="G66" s="0" t="inlineStr">
        <is>
          <t xml:space="preserve">نیازمند تنظیم / Configuration</t>
        </is>
      </c>
      <c r="H66" s="5" t="inlineStr">
        <is>
          <t xml:space="preserve">جزئی</t>
        </is>
      </c>
      <c r="I66" s="8" t="inlineStr">
        <is>
          <t xml:space="preserve">sentiment در call_ai_tags</t>
        </is>
      </c>
      <c r="J66" s="10" t="inlineStr">
        <is>
          <t xml:space="preserve">محتمل</t>
        </is>
      </c>
      <c r="K66" s="0" t="inlineStr">
        <is>
          <t xml:space="preserve">MCINEXT</t>
        </is>
      </c>
      <c r="L66" s="0" t="inlineStr">
        <is>
          <t xml:space="preserve">T+5 روز کاری</t>
        </is>
      </c>
      <c r="M66" s="5" t="inlineStr">
        <is>
          <t xml:space="preserve">فقط View/فیلتر اختصاصی Positive لازم است</t>
        </is>
      </c>
      <c r="N66" s="9"/>
      <c r="O66" s="7"/>
    </row>
    <row r="67">
      <c r="A67" s="0" t="inlineStr">
        <is>
          <t xml:space="preserve">7. Analytics &amp; Management View</t>
        </is>
      </c>
      <c r="B67" s="10" t="inlineStr">
        <is>
          <t xml:space="preserve">AN-06</t>
        </is>
      </c>
      <c r="C67" s="0" t="inlineStr">
        <is>
          <t xml:space="preserve">Segment Analysis</t>
        </is>
      </c>
      <c r="D67" s="0" t="inlineStr">
        <is>
          <t xml:space="preserve">تحلیل بر اساس معاونت، اداره کل و اداره در صورت کفایت داده و رعایت Privacy ممکن باشد.</t>
        </is>
      </c>
      <c r="E67" s="0" t="inlineStr">
        <is>
          <t xml:space="preserve">فیلتر Segment روی داده Mapping‌شده کار کند و گروه کوچک Suppress شود.</t>
        </is>
      </c>
      <c r="F67" s="7"/>
      <c r="G67" s="0" t="inlineStr">
        <is>
          <t xml:space="preserve">نیازمند توسعه / Customization</t>
        </is>
      </c>
      <c r="H67" s="6" t="inlineStr">
        <is>
          <t xml:space="preserve">غایب</t>
        </is>
      </c>
      <c r="I67" s="8" t="inlineStr">
        <is>
          <t xml:space="preserve">—</t>
        </is>
      </c>
      <c r="J67" s="10" t="inlineStr">
        <is>
          <t xml:space="preserve">قطعی</t>
        </is>
      </c>
      <c r="K67" s="0" t="inlineStr">
        <is>
          <t xml:space="preserve">مشترک</t>
        </is>
      </c>
      <c r="L67" s="0" t="inlineStr">
        <is>
          <t xml:space="preserve">T+12 روز کاری پس از تکمیل Mapping سازمانی</t>
        </is>
      </c>
      <c r="M67" s="6" t="inlineStr">
        <is>
          <t xml:space="preserve">وابسته به VIA-05 و PRV-05 — نمی‌تواند زودتر از آن‌ها تحویل شود</t>
        </is>
      </c>
      <c r="N67" s="9"/>
      <c r="O67" s="7"/>
    </row>
    <row r="68">
      <c r="A68" s="0" t="inlineStr">
        <is>
          <t xml:space="preserve">7. Analytics &amp; Management View</t>
        </is>
      </c>
      <c r="B68" s="10" t="inlineStr">
        <is>
          <t xml:space="preserve">AN-07</t>
        </is>
      </c>
      <c r="C68" s="0" t="inlineStr">
        <is>
          <t xml:space="preserve">فیلتر زمانی</t>
        </is>
      </c>
      <c r="D68" s="0" t="inlineStr">
        <is>
          <t xml:space="preserve">امکان مشاهده بازه‌های زمانی مختلف مانند روز/هفته/ماه یا Custom Range وجود داشته باشد.</t>
        </is>
      </c>
      <c r="E68" s="0" t="inlineStr">
        <is>
          <t xml:space="preserve">انتخاب بازه زمانی تمام KPIها و Trendهای مرتبط را به‌روزرسانی کند.</t>
        </is>
      </c>
      <c r="F68" s="7"/>
      <c r="G68" s="0" t="inlineStr">
        <is>
          <t xml:space="preserve">موجود در محصول</t>
        </is>
      </c>
      <c r="H68" s="3" t="inlineStr">
        <is>
          <t xml:space="preserve">تأییدشده</t>
        </is>
      </c>
      <c r="I68" s="8" t="inlineStr">
        <is>
          <t xml:space="preserve">timeseries endpoints + پارامترهای date_from/date_to</t>
        </is>
      </c>
      <c r="J68" s="10" t="inlineStr">
        <is>
          <t xml:space="preserve">قطعی</t>
        </is>
      </c>
      <c r="K68" s="0" t="inlineStr">
        <is>
          <t xml:space="preserve">—</t>
        </is>
      </c>
      <c r="L68" s="0" t="inlineStr">
        <is>
          <t xml:space="preserve">—</t>
        </is>
      </c>
      <c r="M68" s="3"/>
      <c r="N68" s="9"/>
      <c r="O68" s="7"/>
    </row>
    <row r="69">
      <c r="A69" s="0" t="inlineStr">
        <is>
          <t xml:space="preserve">7. Analytics &amp; Management View</t>
        </is>
      </c>
      <c r="B69" s="10" t="inlineStr">
        <is>
          <t xml:space="preserve">AN-08</t>
        </is>
      </c>
      <c r="C69" s="0" t="inlineStr">
        <is>
          <t xml:space="preserve">Drill-down تا Summary مکالمه</t>
        </is>
      </c>
      <c r="D69" s="0" t="inlineStr">
        <is>
          <t xml:space="preserve">EX بتواند از Theme یا Cluster به Voice Item/Conversation Summary برسد؛ دسترسی به Transcript یا Audio تابع Permission باشد.</t>
        </is>
      </c>
      <c r="E69" s="0" t="inlineStr">
        <is>
          <t xml:space="preserve">از یک Theme نمونه به Summaryهای پشتیبان Drill-down انجام شود.</t>
        </is>
      </c>
      <c r="F69" s="7"/>
      <c r="G69" s="0" t="inlineStr">
        <is>
          <t xml:space="preserve">موجود در محصول</t>
        </is>
      </c>
      <c r="H69" s="3" t="inlineStr">
        <is>
          <t xml:space="preserve">تأییدشده</t>
        </is>
      </c>
      <c r="I69" s="8" t="inlineStr">
        <is>
          <t xml:space="preserve">GET /api/v1/analyse/voice/call/&lt;call_id&gt; (CallDetailAPIView)</t>
        </is>
      </c>
      <c r="J69" s="10" t="inlineStr">
        <is>
          <t xml:space="preserve">قطعی</t>
        </is>
      </c>
      <c r="K69" s="0" t="inlineStr">
        <is>
          <t xml:space="preserve">MCINEXT</t>
        </is>
      </c>
      <c r="L69" s="0" t="inlineStr">
        <is>
          <t xml:space="preserve">وابسته به اصلاح PRV-03</t>
        </is>
      </c>
      <c r="M69" s="3" t="inlineStr">
        <is>
          <t xml:space="preserve">Drill-down کار می‌کند اما دسترسی Audio باید طبق PRV-03 اصلاح شود</t>
        </is>
      </c>
      <c r="N69" s="9"/>
      <c r="O69" s="7"/>
    </row>
    <row r="70">
      <c r="A70" s="0" t="inlineStr">
        <is>
          <t xml:space="preserve">7. Analytics &amp; Management View</t>
        </is>
      </c>
      <c r="B70" s="10" t="inlineStr">
        <is>
          <t xml:space="preserve">AN-09</t>
        </is>
      </c>
      <c r="C70" s="0" t="inlineStr">
        <is>
          <t xml:space="preserve">Alert / Management Signal</t>
        </is>
      </c>
      <c r="D70" s="0" t="inlineStr">
        <is>
          <t xml:space="preserve">برای موضوعات پرتکرار، Spike، Trend مهم یا مورد حساس امکان ایجاد Signal/Alert قابل تنظیم وجود داشته باشد؛ هر Voice منفی نباید Alert شود.</t>
        </is>
      </c>
      <c r="E70" s="0" t="inlineStr">
        <is>
          <t xml:space="preserve">سناریوی Spike Alert ایجاد کند ولی High Volume پایدار Alert تکراری نسازد.</t>
        </is>
      </c>
      <c r="F70" s="7"/>
      <c r="G70" s="0" t="inlineStr">
        <is>
          <t xml:space="preserve">موجود در محصول</t>
        </is>
      </c>
      <c r="H70" s="4" t="inlineStr">
        <is>
          <t xml:space="preserve">رد شد (جزئی)</t>
        </is>
      </c>
      <c r="I70" s="8" t="inlineStr">
        <is>
          <t xml:space="preserve">coa/apps/trends/services/webhook.py:93 → severity ثابت "high"؛ هیچ آستانه کاربرپسند یافت نشد</t>
        </is>
      </c>
      <c r="J70" s="10" t="inlineStr">
        <is>
          <t xml:space="preserve">قطعی</t>
        </is>
      </c>
      <c r="K70" s="0" t="inlineStr">
        <is>
          <t xml:space="preserve">MCINEXT</t>
        </is>
      </c>
      <c r="L70" s="0" t="inlineStr">
        <is>
          <t xml:space="preserve">T+10 روز کاری</t>
        </is>
      </c>
      <c r="M70" s="4" t="inlineStr">
        <is>
          <t xml:space="preserve">⚠️ در توافق «موجود» است ولی یادداشت خودتان می‌گوید قابل تنظیم نیست. خودتان Downgrade کنید</t>
        </is>
      </c>
      <c r="N70" s="9" t="inlineStr">
        <is>
          <t xml:space="preserve">به صورت کلی Alertها و Trendها اطلاع رسانی می‌گردد ولی قابل تنظیم توسط کاربر نیست.</t>
        </is>
      </c>
      <c r="O70" s="7"/>
    </row>
    <row r="71">
      <c r="A71" s="0" t="inlineStr">
        <is>
          <t xml:space="preserve">7. Analytics &amp; Management View</t>
        </is>
      </c>
      <c r="B71" s="10" t="inlineStr">
        <is>
          <t xml:space="preserve">AN-10</t>
        </is>
      </c>
      <c r="C71" s="0" t="inlineStr">
        <is>
          <t xml:space="preserve">خروجی مدیریتی دوره‌ای</t>
        </is>
      </c>
      <c r="D71" s="0" t="inlineStr">
        <is>
          <t xml:space="preserve">سیستم بتواند Summary قابل ارائه از مهم‌ترین موضوعات، تغییرات و Signalها برای تیم EX/جلسه مدیریت تولید کند.</t>
        </is>
      </c>
      <c r="E71" s="0" t="inlineStr">
        <is>
          <t xml:space="preserve">یک Weekly/Periodic Summary از داده Pilot با Evidence قابل ردیابی تولید شود.</t>
        </is>
      </c>
      <c r="F71" s="7"/>
      <c r="G71" s="0" t="inlineStr">
        <is>
          <t xml:space="preserve">موجود در محصول</t>
        </is>
      </c>
      <c r="H71" s="3" t="inlineStr">
        <is>
          <t xml:space="preserve">تأییدشده</t>
        </is>
      </c>
      <c r="I71" s="8" t="inlineStr">
        <is>
          <t xml:space="preserve">/trends/report/; /analyse/calls/special-analysis/timeseries/report</t>
        </is>
      </c>
      <c r="J71" s="10" t="inlineStr">
        <is>
          <t xml:space="preserve">قطعی</t>
        </is>
      </c>
      <c r="K71" s="0" t="inlineStr">
        <is>
          <t xml:space="preserve">—</t>
        </is>
      </c>
      <c r="L71" s="0" t="inlineStr">
        <is>
          <t xml:space="preserve">—</t>
        </is>
      </c>
      <c r="M71" s="3"/>
      <c r="N71" s="9"/>
      <c r="O71" s="7"/>
    </row>
    <row r="72">
      <c r="A72" s="0" t="inlineStr">
        <is>
          <t xml:space="preserve">7. Analytics &amp; Management View</t>
        </is>
      </c>
      <c r="B72" s="10" t="inlineStr">
        <is>
          <t xml:space="preserve">AN-11</t>
        </is>
      </c>
      <c r="C72" s="0" t="inlineStr">
        <is>
          <t xml:space="preserve">Export داده/گزارش</t>
        </is>
      </c>
      <c r="D72" s="0" t="inlineStr">
        <is>
          <t xml:space="preserve">در صورت نیاز تیم EX، خروجی ساختاریافته یا گزارش قابل Export باشد تا تحلیل تکمیلی یا ارائه مدیریتی ممکن شود.</t>
        </is>
      </c>
      <c r="E72" s="0" t="inlineStr">
        <is>
          <t xml:space="preserve">Export نمونه فاقد فیلدهای هویتی غیرمجاز باشد.</t>
        </is>
      </c>
      <c r="F72" s="7"/>
      <c r="G72" s="0" t="inlineStr">
        <is>
          <t xml:space="preserve">موجود در محصول</t>
        </is>
      </c>
      <c r="H72" s="3" t="inlineStr">
        <is>
          <t xml:space="preserve">تأییدشده</t>
        </is>
      </c>
      <c r="I72" s="8" t="inlineStr">
        <is>
          <t xml:space="preserve">coa/apps/experts/service.py (خروجی CSV)</t>
        </is>
      </c>
      <c r="J72" s="10" t="inlineStr">
        <is>
          <t xml:space="preserve">قطعی</t>
        </is>
      </c>
      <c r="K72" s="0" t="inlineStr">
        <is>
          <t xml:space="preserve">MCINEXT</t>
        </is>
      </c>
      <c r="L72" s="0" t="inlineStr">
        <is>
          <t xml:space="preserve">T+3 روز کاری</t>
        </is>
      </c>
      <c r="M72" s="3" t="inlineStr">
        <is>
          <t xml:space="preserve">باید فیلدهای هویتی از Export حذف شوند تا معیار پذیرش برآورده شود</t>
        </is>
      </c>
      <c r="N72" s="9"/>
      <c r="O72" s="7"/>
    </row>
    <row r="73">
      <c r="A73" s="0" t="inlineStr">
        <is>
          <t xml:space="preserve">7. Analytics &amp; Management View</t>
        </is>
      </c>
      <c r="B73" s="10" t="inlineStr">
        <is>
          <t xml:space="preserve">AN-12</t>
        </is>
      </c>
      <c r="C73" s="0" t="inlineStr">
        <is>
          <t xml:space="preserve">دستیار تحلیل با زبان طبیعی</t>
        </is>
      </c>
      <c r="D73" s="0" t="inlineStr">
        <is>
          <t xml:space="preserve">در صورت آماده بودن قابلیت، کاربران محدود EX بتوانند درباره کل داده Pilot سؤال طبیعی بپرسند و پاسخ همراه با شواهد دریافت کنند.</t>
        </is>
      </c>
      <c r="E73" s="0" t="inlineStr">
        <is>
          <t xml:space="preserve">سؤال «مهم‌ترین موضوع این ماه چیست؟» پاسخ مبتنی بر داده Pilot و قابل Trace دریافت کند.</t>
        </is>
      </c>
      <c r="F73" s="7"/>
      <c r="G73" s="0" t="inlineStr">
        <is>
          <t xml:space="preserve">موجود در محصول</t>
        </is>
      </c>
      <c r="H73" s="3" t="inlineStr">
        <is>
          <t xml:space="preserve">تأییدشده</t>
        </is>
      </c>
      <c r="I73" s="8" t="inlineStr">
        <is>
          <t xml:space="preserve">python/aqa — 9,119 LOC؛ POST /api/v1/chat/message (SSE)؛ /configs/{prompts,sql-examples}؛ POST /eval/run</t>
        </is>
      </c>
      <c r="J73" s="10" t="inlineStr">
        <is>
          <t xml:space="preserve">قطعی</t>
        </is>
      </c>
      <c r="K73" s="0" t="inlineStr">
        <is>
          <t xml:space="preserve">—</t>
        </is>
      </c>
      <c r="L73" s="0" t="inlineStr">
        <is>
          <t xml:space="preserve">—</t>
        </is>
      </c>
      <c r="M73" s="3" t="inlineStr">
        <is>
          <t xml:space="preserve">✅ قوی‌ترین دارایی نمایشی شما. تنها سرویسی که Eval Harness دارد</t>
        </is>
      </c>
      <c r="N73" s="9"/>
      <c r="O73" s="7"/>
    </row>
    <row r="74">
      <c r="A74" s="0" t="inlineStr">
        <is>
          <t xml:space="preserve">8. Pilot, UAT &amp; Technical Setup</t>
        </is>
      </c>
      <c r="B74" s="10" t="inlineStr">
        <is>
          <t xml:space="preserve">TEC-01</t>
        </is>
      </c>
      <c r="C74" s="0" t="inlineStr">
        <is>
          <t xml:space="preserve">Environment اختصاصی EX</t>
        </is>
      </c>
      <c r="D74" s="0" t="inlineStr">
        <is>
          <t xml:space="preserve">به دلیل محرمانگی داده کارکنان، محیط سرویس EX با منابع و تنظیمات مشخص و مورد تأیید ایجاد شود.</t>
        </is>
      </c>
      <c r="E74" s="0" t="inlineStr">
        <is>
          <t xml:space="preserve">Environment Pilot مستقل و قابل شناسایی از محیط‌های دیگر آماده باشد.</t>
        </is>
      </c>
      <c r="F74" s="7"/>
      <c r="G74" s="0" t="inlineStr">
        <is>
          <t xml:space="preserve">نیازمند تنظیم / Configuration</t>
        </is>
      </c>
      <c r="H74" s="0" t="inlineStr">
        <is>
          <t xml:space="preserve">تنظیم / زیرساخت</t>
        </is>
      </c>
      <c r="I74" s="8" t="inlineStr">
        <is>
          <t xml:space="preserve">helm/cloud; dockerfiles/</t>
        </is>
      </c>
      <c r="J74" s="10" t="inlineStr">
        <is>
          <t xml:space="preserve">قطعی</t>
        </is>
      </c>
      <c r="K74" s="0" t="inlineStr">
        <is>
          <t xml:space="preserve">MCINEXT + MCI-IT</t>
        </is>
      </c>
      <c r="L74" s="0" t="inlineStr">
        <is>
          <t xml:space="preserve">T+10 روز کاری پس از تخصیص منابع</t>
        </is>
      </c>
      <c r="M74" s="0"/>
      <c r="N74" s="9"/>
      <c r="O74" s="7"/>
    </row>
    <row r="75">
      <c r="A75" s="0" t="inlineStr">
        <is>
          <t xml:space="preserve">8. Pilot, UAT &amp; Technical Setup</t>
        </is>
      </c>
      <c r="B75" s="10" t="inlineStr">
        <is>
          <t xml:space="preserve">TEC-02</t>
        </is>
      </c>
      <c r="C75" s="0" t="inlineStr">
        <is>
          <t xml:space="preserve">Database / Namespace / Compute</t>
        </is>
      </c>
      <c r="D75" s="0" t="inlineStr">
        <is>
          <t xml:space="preserve">زیرساخت داده، Namespace و منابع پردازشی موردنیاز قبل از UAT فراهم و ظرفیت اولیه مشخص شود.</t>
        </is>
      </c>
      <c r="E75" s="0" t="inlineStr">
        <is>
          <t xml:space="preserve">تیم فنی آماده‌بودن اجزای زیرساخت را برای شروع UAT تأیید کند.</t>
        </is>
      </c>
      <c r="F75" s="7"/>
      <c r="G75" s="0" t="inlineStr">
        <is>
          <t xml:space="preserve">نیازمند تنظیم / Configuration</t>
        </is>
      </c>
      <c r="H75" s="0" t="inlineStr">
        <is>
          <t xml:space="preserve">تنظیم / زیرساخت</t>
        </is>
      </c>
      <c r="I75" s="8" t="inlineStr">
        <is>
          <t xml:space="preserve">helm/cloud; coa-api/docker-compose.yml</t>
        </is>
      </c>
      <c r="J75" s="10" t="inlineStr">
        <is>
          <t xml:space="preserve">قطعی</t>
        </is>
      </c>
      <c r="K75" s="0" t="inlineStr">
        <is>
          <t xml:space="preserve">MCINEXT + MCI-IT</t>
        </is>
      </c>
      <c r="L75" s="0" t="inlineStr">
        <is>
          <t xml:space="preserve">همان TEC-01</t>
        </is>
      </c>
      <c r="M75" s="0" t="inlineStr">
        <is>
          <t xml:space="preserve">⚠️ Celery با concurrency=1 اجرا می‌شود — سقف ظرفیت را پیش از تعهد مشخص کنید</t>
        </is>
      </c>
      <c r="N75" s="9"/>
      <c r="O75" s="7"/>
    </row>
    <row r="76">
      <c r="A76" s="0" t="inlineStr">
        <is>
          <t xml:space="preserve">8. Pilot, UAT &amp; Technical Setup</t>
        </is>
      </c>
      <c r="B76" s="10" t="inlineStr">
        <is>
          <t xml:space="preserve">TEC-03</t>
        </is>
      </c>
      <c r="C76" s="0" t="inlineStr">
        <is>
          <t xml:space="preserve">Network / Domain / Security Setup</t>
        </is>
      </c>
      <c r="D76" s="0" t="inlineStr">
        <is>
          <t xml:space="preserve">نیازهای Network، Domain و دسترسی‌های امنیتی لازم برای سرویس صوتی و پنل تحلیل مشخص و اجرا شوند.</t>
        </is>
      </c>
      <c r="E76" s="0" t="inlineStr">
        <is>
          <t xml:space="preserve">Checklist زیرساختی بدون Blocker باز پیش از UAT بسته شود.</t>
        </is>
      </c>
      <c r="F76" s="7"/>
      <c r="G76" s="0" t="inlineStr">
        <is>
          <t xml:space="preserve">نیازمند تنظیم / Configuration</t>
        </is>
      </c>
      <c r="H76" s="0" t="inlineStr">
        <is>
          <t xml:space="preserve">تنظیم / زیرساخت</t>
        </is>
      </c>
      <c r="I76" s="8" t="inlineStr">
        <is>
          <t xml:space="preserve">ansible-roles/envoy_*; ansible-roles/ingress_controller</t>
        </is>
      </c>
      <c r="J76" s="10" t="inlineStr">
        <is>
          <t xml:space="preserve">قطعی</t>
        </is>
      </c>
      <c r="K76" s="0" t="inlineStr">
        <is>
          <t xml:space="preserve">MCINEXT + MCI-IT</t>
        </is>
      </c>
      <c r="L76" s="0" t="inlineStr">
        <is>
          <t xml:space="preserve">همان TEC-01</t>
        </is>
      </c>
      <c r="M76" s="0"/>
      <c r="N76" s="9"/>
      <c r="O76" s="7"/>
    </row>
    <row r="77">
      <c r="A77" s="0" t="inlineStr">
        <is>
          <t xml:space="preserve">8. Pilot, UAT &amp; Technical Setup</t>
        </is>
      </c>
      <c r="B77" s="10" t="inlineStr">
        <is>
          <t xml:space="preserve">TEC-04</t>
        </is>
      </c>
      <c r="C77" s="0" t="inlineStr">
        <is>
          <t xml:space="preserve">اتصال سرشماره به سرویس AI</t>
        </is>
      </c>
      <c r="D77" s="0" t="inlineStr">
        <is>
          <t xml:space="preserve">سرشماره/شماره پایلوت به Voice Agent و Backend صحیح متصل شود و مسیر تماس End-to-End تست شود.</t>
        </is>
      </c>
      <c r="E77" s="0" t="inlineStr">
        <is>
          <t xml:space="preserve">تماس آزمایشی از شماره Whitelist از سرشماره تا ذخیره رکورد موفق باشد.</t>
        </is>
      </c>
      <c r="F77" s="7"/>
      <c r="G77" s="0" t="inlineStr">
        <is>
          <t xml:space="preserve">نیازمند تنظیم / Configuration</t>
        </is>
      </c>
      <c r="H77" s="0" t="inlineStr">
        <is>
          <t xml:space="preserve">تنظیم</t>
        </is>
      </c>
      <c r="I77" s="8" t="inlineStr">
        <is>
          <t xml:space="preserve">chatbot-iva-agent SIP config</t>
        </is>
      </c>
      <c r="J77" s="10" t="inlineStr">
        <is>
          <t xml:space="preserve">قطعی</t>
        </is>
      </c>
      <c r="K77" s="0" t="inlineStr">
        <is>
          <t xml:space="preserve">MCINEXT + MCI-IT</t>
        </is>
      </c>
      <c r="L77" s="0" t="inlineStr">
        <is>
          <t xml:space="preserve">T+5 روز کاری پس از تخصیص سرشماره</t>
        </is>
      </c>
      <c r="M77" s="0"/>
      <c r="N77" s="9"/>
      <c r="O77" s="7"/>
    </row>
    <row r="78">
      <c r="A78" s="0" t="inlineStr">
        <is>
          <t xml:space="preserve">8. Pilot, UAT &amp; Technical Setup</t>
        </is>
      </c>
      <c r="B78" s="10" t="inlineStr">
        <is>
          <t xml:space="preserve">TEC-05</t>
        </is>
      </c>
      <c r="C78" s="0" t="inlineStr">
        <is>
          <t xml:space="preserve">Demo / Instance آزمایشی</t>
        </is>
      </c>
      <c r="D78" s="0" t="inlineStr">
        <is>
          <t xml:space="preserve">پیش از Sign-off کامل، یک محیط آزمایشی با داده غیرحساس یا Sample برای Explore کردن محصول و کشف Gap واقعی در اختیار تیم EX قرار گیرد.</t>
        </is>
      </c>
      <c r="E78" s="0" t="inlineStr">
        <is>
          <t xml:space="preserve">تیم EX بتواند بدون داده واقعی کارکنان قابلیت‌های اصلی را مشاهده و تست کند.</t>
        </is>
      </c>
      <c r="F78" s="7"/>
      <c r="G78" s="0" t="inlineStr">
        <is>
          <t xml:space="preserve">نیازمند تنظیم / Configuration</t>
        </is>
      </c>
      <c r="H78" s="0" t="inlineStr">
        <is>
          <t xml:space="preserve">تنظیم</t>
        </is>
      </c>
      <c r="I78" s="8" t="inlineStr">
        <is>
          <t xml:space="preserve">—</t>
        </is>
      </c>
      <c r="J78" s="10" t="inlineStr">
        <is>
          <t xml:space="preserve">قطعی</t>
        </is>
      </c>
      <c r="K78" s="0" t="inlineStr">
        <is>
          <t xml:space="preserve">MCINEXT</t>
        </is>
      </c>
      <c r="L78" s="0" t="inlineStr">
        <is>
          <t xml:space="preserve">T+7 روز کاری</t>
        </is>
      </c>
      <c r="M78" s="0" t="inlineStr">
        <is>
          <t xml:space="preserve">محیط Demo با داده نمونه</t>
        </is>
      </c>
      <c r="N78" s="9"/>
      <c r="O78" s="7"/>
    </row>
    <row r="79">
      <c r="A79" s="0" t="inlineStr">
        <is>
          <t xml:space="preserve">8. Pilot, UAT &amp; Technical Setup</t>
        </is>
      </c>
      <c r="B79" s="10" t="inlineStr">
        <is>
          <t xml:space="preserve">TEC-06</t>
        </is>
      </c>
      <c r="C79" s="0" t="inlineStr">
        <is>
          <t xml:space="preserve">بارگذاری Whitelist و Mapping Pilot</t>
        </is>
      </c>
      <c r="D79" s="0" t="inlineStr">
        <is>
          <t xml:space="preserve">دیتاست شماره‌ها و Context سازمانی جامعه Pilot با فرمت توافق‌شده آماده، اعتبارسنجی و وارد سیستم شود.</t>
        </is>
      </c>
      <c r="E79" s="0" t="inlineStr">
        <is>
          <t xml:space="preserve">نمونه‌گیری از Mappingها بدون خطای معنادار تأیید شود.</t>
        </is>
      </c>
      <c r="F79" s="7"/>
      <c r="G79" s="0" t="inlineStr">
        <is>
          <t xml:space="preserve">نیازمند تنظیم / Configuration</t>
        </is>
      </c>
      <c r="H79" s="0" t="inlineStr">
        <is>
          <t xml:space="preserve">تنظیم</t>
        </is>
      </c>
      <c r="I79" s="8" t="inlineStr">
        <is>
          <t xml:space="preserve">—</t>
        </is>
      </c>
      <c r="J79" s="10" t="inlineStr">
        <is>
          <t xml:space="preserve">قطعی</t>
        </is>
      </c>
      <c r="K79" s="0" t="inlineStr">
        <is>
          <t xml:space="preserve">EX (دیتاست)</t>
        </is>
      </c>
      <c r="L79" s="0" t="inlineStr">
        <is>
          <t xml:space="preserve">T+3 روز کاری پس از تحویل دیتاست</t>
        </is>
      </c>
      <c r="M79" s="0"/>
      <c r="N79" s="9"/>
      <c r="O79" s="7"/>
    </row>
    <row r="80">
      <c r="A80" s="0" t="inlineStr">
        <is>
          <t xml:space="preserve">8. Pilot, UAT &amp; Technical Setup</t>
        </is>
      </c>
      <c r="B80" s="10" t="inlineStr">
        <is>
          <t xml:space="preserve">TEC-07</t>
        </is>
      </c>
      <c r="C80" s="0" t="inlineStr">
        <is>
          <t xml:space="preserve">بارگذاری Seed Knowledge</t>
        </is>
      </c>
      <c r="D80" s="0" t="inlineStr">
        <is>
          <t xml:space="preserve">Knowledge اولیه اداره خودمان در قالب مورد قبول محصول آماده و بارگذاری شود.</t>
        </is>
      </c>
      <c r="E80" s="0" t="inlineStr">
        <is>
          <t xml:space="preserve">مجموعه سؤال‌های Golden به پاسخ صحیح بر اساس Seed Knowledge برسند.</t>
        </is>
      </c>
      <c r="F80" s="7"/>
      <c r="G80" s="0" t="inlineStr">
        <is>
          <t xml:space="preserve">موجود در محصول</t>
        </is>
      </c>
      <c r="H80" s="3" t="inlineStr">
        <is>
          <t xml:space="preserve">تأییدشده</t>
        </is>
      </c>
      <c r="I80" s="8" t="inlineStr">
        <is>
          <t xml:space="preserve">adcs_kb /import</t>
        </is>
      </c>
      <c r="J80" s="10" t="inlineStr">
        <is>
          <t xml:space="preserve">قطعی</t>
        </is>
      </c>
      <c r="K80" s="0" t="inlineStr">
        <is>
          <t xml:space="preserve">EX</t>
        </is>
      </c>
      <c r="L80" s="0" t="inlineStr">
        <is>
          <t xml:space="preserve">T+0</t>
        </is>
      </c>
      <c r="M80" s="3" t="inlineStr">
        <is>
          <t xml:space="preserve">اجرا توسط EX</t>
        </is>
      </c>
      <c r="N80" s="9" t="inlineStr">
        <is>
          <t xml:space="preserve">توسط تیم EX انجام می‌شود.</t>
        </is>
      </c>
      <c r="O80" s="7"/>
    </row>
    <row r="81">
      <c r="A81" s="0" t="inlineStr">
        <is>
          <t xml:space="preserve">8. Pilot, UAT &amp; Technical Setup</t>
        </is>
      </c>
      <c r="B81" s="10" t="inlineStr">
        <is>
          <t xml:space="preserve">TEC-08</t>
        </is>
      </c>
      <c r="C81" s="0" t="inlineStr">
        <is>
          <t xml:space="preserve">Track A: Golden Test Scenarios</t>
        </is>
      </c>
      <c r="D81" s="0" t="inlineStr">
        <is>
          <t xml:space="preserve">مجموعه سناریوهای کنترل‌شده برای تست Featureها طراحی شود؛ مانند Voice چندموضوعی، Voice مبهم، Positive، سؤال بدون پاسخ، Sensitive و تماس قطع‌شده.</t>
        </is>
      </c>
      <c r="E81" s="0" t="inlineStr">
        <is>
          <t xml:space="preserve">برای هر سناریو Expected Result و Pass/Fail ثبت شود.</t>
        </is>
      </c>
      <c r="F81" s="7"/>
      <c r="G81" s="0" t="inlineStr">
        <is>
          <t xml:space="preserve">موجود در محصول</t>
        </is>
      </c>
      <c r="H81" s="0" t="inlineStr">
        <is>
          <t xml:space="preserve">خارج از کد</t>
        </is>
      </c>
      <c r="I81" s="8" t="inlineStr">
        <is>
          <t xml:space="preserve">—</t>
        </is>
      </c>
      <c r="J81" s="10" t="inlineStr">
        <is>
          <t xml:space="preserve">قطعی</t>
        </is>
      </c>
      <c r="K81" s="0" t="inlineStr">
        <is>
          <t xml:space="preserve">EX</t>
        </is>
      </c>
      <c r="L81" s="0" t="inlineStr">
        <is>
          <t xml:space="preserve">T+0</t>
        </is>
      </c>
      <c r="M81" s="0" t="inlineStr">
        <is>
          <t xml:space="preserve">سناریوها را EX می‌نویسد</t>
        </is>
      </c>
      <c r="N81" s="9" t="inlineStr">
        <is>
          <t xml:space="preserve">توسط تیم EX انجام می‌شود.</t>
        </is>
      </c>
      <c r="O81" s="7"/>
    </row>
    <row r="82">
      <c r="A82" s="0" t="inlineStr">
        <is>
          <t xml:space="preserve">8. Pilot, UAT &amp; Technical Setup</t>
        </is>
      </c>
      <c r="B82" s="10" t="inlineStr">
        <is>
          <t xml:space="preserve">TEC-09</t>
        </is>
      </c>
      <c r="C82" s="0" t="inlineStr">
        <is>
          <t xml:space="preserve">Track B: Natural Use</t>
        </is>
      </c>
      <c r="D82" s="0" t="inlineStr">
        <is>
          <t xml:space="preserve">علاوه بر تست اسکریپت‌شده، اعضای اداره مانند یک کاربر واقعی و بدون متن از پیش تعیین‌شده از کانال استفاده کنند تا رفتار طبیعی محصول سنجیده شود.</t>
        </is>
      </c>
      <c r="E82" s="0" t="inlineStr">
        <is>
          <t xml:space="preserve">Feedback کاربران Natural Use جدا از Golden Scenario Tests ثبت شود.</t>
        </is>
      </c>
      <c r="F82" s="7"/>
      <c r="G82" s="0" t="inlineStr">
        <is>
          <t xml:space="preserve">موجود در محصول</t>
        </is>
      </c>
      <c r="H82" s="0" t="inlineStr">
        <is>
          <t xml:space="preserve">خارج از کد</t>
        </is>
      </c>
      <c r="I82" s="8" t="inlineStr">
        <is>
          <t xml:space="preserve">—</t>
        </is>
      </c>
      <c r="J82" s="10" t="inlineStr">
        <is>
          <t xml:space="preserve">قطعی</t>
        </is>
      </c>
      <c r="K82" s="0" t="inlineStr">
        <is>
          <t xml:space="preserve">EX</t>
        </is>
      </c>
      <c r="L82" s="0" t="inlineStr">
        <is>
          <t xml:space="preserve">T+0</t>
        </is>
      </c>
      <c r="M82" s="0"/>
      <c r="N82" s="9"/>
      <c r="O82" s="7"/>
    </row>
    <row r="83">
      <c r="A83" s="0" t="inlineStr">
        <is>
          <t xml:space="preserve">8. Pilot, UAT &amp; Technical Setup</t>
        </is>
      </c>
      <c r="B83" s="10" t="inlineStr">
        <is>
          <t xml:space="preserve">TEC-10</t>
        </is>
      </c>
      <c r="C83" s="0" t="inlineStr">
        <is>
          <t xml:space="preserve">Internal UAT و Issue Log</t>
        </is>
      </c>
      <c r="D83" s="0" t="inlineStr">
        <is>
          <t xml:space="preserve">تمام خطاها، Gapها، رفتارهای غیرمنتظره و درخواست‌های اصلاح در یک Issue Log واحد ثبت شوند.</t>
        </is>
      </c>
      <c r="E83" s="0" t="inlineStr">
        <is>
          <t xml:space="preserve">هر Issue دارای شناسه، شدت، Owner، وضعیت و نتیجه Retest باشد.</t>
        </is>
      </c>
      <c r="F83" s="7"/>
      <c r="G83" s="0" t="inlineStr">
        <is>
          <t xml:space="preserve">موجود در محصول</t>
        </is>
      </c>
      <c r="H83" s="0" t="inlineStr">
        <is>
          <t xml:space="preserve">خارج از کد</t>
        </is>
      </c>
      <c r="I83" s="8" t="inlineStr">
        <is>
          <t xml:space="preserve">—</t>
        </is>
      </c>
      <c r="J83" s="10" t="inlineStr">
        <is>
          <t xml:space="preserve">قطعی</t>
        </is>
      </c>
      <c r="K83" s="0" t="inlineStr">
        <is>
          <t xml:space="preserve">مشترک</t>
        </is>
      </c>
      <c r="L83" s="0" t="inlineStr">
        <is>
          <t xml:space="preserve">T+0</t>
        </is>
      </c>
      <c r="M83" s="0"/>
      <c r="N83" s="9"/>
      <c r="O83" s="7"/>
    </row>
    <row r="84">
      <c r="A84" s="0" t="inlineStr">
        <is>
          <t xml:space="preserve">8. Pilot, UAT &amp; Technical Setup</t>
        </is>
      </c>
      <c r="B84" s="10" t="inlineStr">
        <is>
          <t xml:space="preserve">TEC-11</t>
        </is>
      </c>
      <c r="C84" s="0" t="inlineStr">
        <is>
          <t xml:space="preserve">Retest پس از اصلاح</t>
        </is>
      </c>
      <c r="D84" s="0" t="inlineStr">
        <is>
          <t xml:space="preserve">هر اصلاح فنی یا Configuration مهم باید روی سناریوی قبلی مجدداً تست شود تا Regression ایجاد نشده باشد.</t>
        </is>
      </c>
      <c r="E84" s="0" t="inlineStr">
        <is>
          <t xml:space="preserve">Issue فقط بعد از Retest موفق بسته شود.</t>
        </is>
      </c>
      <c r="F84" s="7"/>
      <c r="G84" s="0" t="inlineStr">
        <is>
          <t xml:space="preserve">موجود در محصول</t>
        </is>
      </c>
      <c r="H84" s="0" t="inlineStr">
        <is>
          <t xml:space="preserve">خارج از کد</t>
        </is>
      </c>
      <c r="I84" s="8" t="inlineStr">
        <is>
          <t xml:space="preserve">—</t>
        </is>
      </c>
      <c r="J84" s="10" t="inlineStr">
        <is>
          <t xml:space="preserve">قطعی</t>
        </is>
      </c>
      <c r="K84" s="0" t="inlineStr">
        <is>
          <t xml:space="preserve">EX</t>
        </is>
      </c>
      <c r="L84" s="0" t="inlineStr">
        <is>
          <t xml:space="preserve">T+0</t>
        </is>
      </c>
      <c r="M84" s="0"/>
      <c r="N84" s="9" t="inlineStr">
        <is>
          <t xml:space="preserve">توسط تیم EX انجام می‌شود.</t>
        </is>
      </c>
      <c r="O84" s="7"/>
    </row>
    <row r="85">
      <c r="A85" s="0" t="inlineStr">
        <is>
          <t xml:space="preserve">8. Pilot, UAT &amp; Technical Setup</t>
        </is>
      </c>
      <c r="B85" s="10" t="inlineStr">
        <is>
          <t xml:space="preserve">TEC-12</t>
        </is>
      </c>
      <c r="C85" s="0" t="inlineStr">
        <is>
          <t xml:space="preserve">Success Criteria Pilot</t>
        </is>
      </c>
      <c r="D85" s="0" t="inlineStr">
        <is>
          <t xml:space="preserve">قبل از اجرای Pilot معیارهای موفقیت در چهار دسته Experience، AI Quality، Management Value و Governance تعریف شوند.</t>
        </is>
      </c>
      <c r="E85" s="0" t="inlineStr">
        <is>
          <t xml:space="preserve">Go/No-Go براساس معیارهای از قبل ثبت‌شده انجام شود، نه صرف موفقیت Demo.</t>
        </is>
      </c>
      <c r="F85" s="7"/>
      <c r="G85" s="0"/>
      <c r="H85" s="7" t="inlineStr">
        <is>
          <t xml:space="preserve">خالی — باید پر شود</t>
        </is>
      </c>
      <c r="I85" s="8" t="inlineStr">
        <is>
          <t xml:space="preserve">—</t>
        </is>
      </c>
      <c r="J85" s="10" t="inlineStr">
        <is>
          <t xml:space="preserve">—</t>
        </is>
      </c>
      <c r="K85" s="0" t="inlineStr">
        <is>
          <t xml:space="preserve">مشترک</t>
        </is>
      </c>
      <c r="L85" s="0" t="inlineStr">
        <is>
          <t xml:space="preserve">T+5 روز کاری</t>
        </is>
      </c>
      <c r="M85" s="7" t="inlineStr">
        <is>
          <t xml:space="preserve">⚠️ ستون وضعیت در توافق خالی است. چهار دسته معیار موفقیت باید پیش از پایلوت تثبیت شود</t>
        </is>
      </c>
      <c r="N85" s="9"/>
      <c r="O85" s="7"/>
    </row>
    <row r="86">
      <c r="A86" s="0" t="inlineStr">
        <is>
          <t xml:space="preserve">8. Pilot, UAT &amp; Technical Setup</t>
        </is>
      </c>
      <c r="B86" s="10" t="inlineStr">
        <is>
          <t xml:space="preserve">TEC-13</t>
        </is>
      </c>
      <c r="C86" s="0" t="inlineStr">
        <is>
          <t xml:space="preserve">Failure / Red Flag Criteria</t>
        </is>
      </c>
      <c r="D86" s="0" t="inlineStr">
        <is>
          <t xml:space="preserve">مواردی مانند STT ضعیف، Alert Noise، افشای هویت، Follow-up نامرتبط یا Sensitive Detection نامطمئن به‌عنوان Red Flag از قبل تعریف شوند.</t>
        </is>
      </c>
      <c r="E86" s="0" t="inlineStr">
        <is>
          <t xml:space="preserve">برای Red Flagها تصمیم اصلاح/توقف/کاهش Scope مشخص باشد.</t>
        </is>
      </c>
      <c r="F86" s="7"/>
      <c r="G86" s="0"/>
      <c r="H86" s="7" t="inlineStr">
        <is>
          <t xml:space="preserve">خالی — باید پر شود</t>
        </is>
      </c>
      <c r="I86" s="8" t="inlineStr">
        <is>
          <t xml:space="preserve">—</t>
        </is>
      </c>
      <c r="J86" s="10" t="inlineStr">
        <is>
          <t xml:space="preserve">—</t>
        </is>
      </c>
      <c r="K86" s="0" t="inlineStr">
        <is>
          <t xml:space="preserve">مشترک</t>
        </is>
      </c>
      <c r="L86" s="0" t="inlineStr">
        <is>
          <t xml:space="preserve">T+5 روز کاری</t>
        </is>
      </c>
      <c r="M86" s="7" t="inlineStr">
        <is>
          <t xml:space="preserve">⚠️ باید VIA-07 (Summary ساختگی)، PRV-03 (افشای صوت) و PRV-10 (Sensitive) را صریحاً شامل شود</t>
        </is>
      </c>
      <c r="N86" s="9"/>
      <c r="O86" s="7"/>
    </row>
    <row r="87">
      <c r="A87" s="0" t="inlineStr">
        <is>
          <t xml:space="preserve">8. Pilot, UAT &amp; Technical Setup</t>
        </is>
      </c>
      <c r="B87" s="10" t="inlineStr">
        <is>
          <t xml:space="preserve">TEC-14</t>
        </is>
      </c>
      <c r="C87" s="0" t="inlineStr">
        <is>
          <t xml:space="preserve">زمان‌بندی و Dependency ردیف‌به‌ردیف</t>
        </is>
      </c>
      <c r="D87" s="0" t="inlineStr">
        <is>
          <t xml:space="preserve">MCINEXT پس از Fit-Gap برای هر Requirement داخل Scope، Dependency و Deadline/برآورد زمانی ارائه کند.</t>
        </is>
      </c>
      <c r="E87" s="0" t="inlineStr">
        <is>
          <t xml:space="preserve">هیچ Timeline کلی بدون مشخص‌بودن Dependencyهای اصلی به‌عنوان تعهد نهایی ثبت نشود.</t>
        </is>
      </c>
      <c r="F87" s="7"/>
      <c r="G87" s="0"/>
      <c r="H87" s="7" t="inlineStr">
        <is>
          <t xml:space="preserve">خالی — تعهد MCINEXT</t>
        </is>
      </c>
      <c r="I87" s="8" t="inlineStr">
        <is>
          <t xml:space="preserve">—</t>
        </is>
      </c>
      <c r="J87" s="10" t="inlineStr">
        <is>
          <t xml:space="preserve">—</t>
        </is>
      </c>
      <c r="K87" s="0" t="inlineStr">
        <is>
          <t xml:space="preserve">MCINEXT</t>
        </is>
      </c>
      <c r="L87" s="0" t="inlineStr">
        <is>
          <t xml:space="preserve">T+3 روز کاری</t>
        </is>
      </c>
      <c r="M87" s="7" t="inlineStr">
        <is>
          <t xml:space="preserve">⚠️ همین فایل پاسخ این ردیف است. معیار پذیرش خودِ این ردیف سپر شماست: بدون مشخص‌بودن Dependency هیچ Timeline تعهد نهایی نیست</t>
        </is>
      </c>
      <c r="N87" s="9"/>
      <c r="O87" s="7"/>
    </row>
    <row r="88">
      <c r="A88" s="0" t="inlineStr">
        <is>
          <t xml:space="preserve">8. Pilot, UAT &amp; Technical Setup</t>
        </is>
      </c>
      <c r="B88" s="10" t="inlineStr">
        <is>
          <t xml:space="preserve">TEC-15</t>
        </is>
      </c>
      <c r="C88" s="0" t="inlineStr">
        <is>
          <t xml:space="preserve">Go / No-Go Review</t>
        </is>
      </c>
      <c r="D88" s="0" t="inlineStr">
        <is>
          <t xml:space="preserve">پس از UAT و Pilot محدود، جلسه تصمیم برگزار شود و براساس Evidence مشخص شود محصول آماده توسعه بیشتر، نیازمند اصلاح یا نیازمند بازنگری Scope است.</t>
        </is>
      </c>
      <c r="E88" s="0" t="inlineStr">
        <is>
          <t xml:space="preserve">خروجی جلسه شامل تصمیم، Gapهای باز و Roadmap مرحله بعد باشد.</t>
        </is>
      </c>
      <c r="F88" s="7"/>
      <c r="G88" s="0"/>
      <c r="H88" s="7" t="inlineStr">
        <is>
          <t xml:space="preserve">خالی — فرایند</t>
        </is>
      </c>
      <c r="I88" s="8" t="inlineStr">
        <is>
          <t xml:space="preserve">—</t>
        </is>
      </c>
      <c r="J88" s="10" t="inlineStr">
        <is>
          <t xml:space="preserve">—</t>
        </is>
      </c>
      <c r="K88" s="0" t="inlineStr">
        <is>
          <t xml:space="preserve">مشترک</t>
        </is>
      </c>
      <c r="L88" s="0" t="inlineStr">
        <is>
          <t xml:space="preserve">پس از پایان UAT</t>
        </is>
      </c>
      <c r="M88" s="7" t="inlineStr">
        <is>
          <t xml:space="preserve">Go/No-Go مبتنی بر Evidence نه Demo</t>
        </is>
      </c>
      <c r="N88" s="9"/>
      <c r="O88" s="7"/>
    </row>
  </sheetData>
  <autoFilter ref="A1:O1"/>
  <pageMargins left="0.3" right="0.3" top="0.4" bottom="0.4" header="0.2" footer="0.2"/>
</worksheet>
</file>

<file path=xl/worksheets/sheet3.xml><?xml version="1.0" encoding="utf-8"?>
<worksheet xmlns="http://schemas.openxmlformats.org/spreadsheetml/2006/main">
  <sheetViews>
    <sheetView workbookViewId="0" rightToLeft="1"/>
  </sheetViews>
  <sheetFormatPr defaultRowHeight="15"/>
  <cols>
    <col min="1" max="1" width="34" customWidth="1"/>
    <col min="2" max="2" width="14" customWidth="1"/>
    <col min="3" max="3" width="14" customWidth="1"/>
    <col min="4" max="4" width="62" customWidth="1"/>
  </cols>
  <sheetData>
    <row r="1" ht="26" customHeight="1">
      <c r="A1" s="2" t="inlineStr">
        <is>
          <t xml:space="preserve">خلاصه وضعیت — محاسبه زنده از شیت «ردیف‌ها»</t>
        </is>
      </c>
      <c r="B1" s="2"/>
      <c r="C1" s="2"/>
      <c r="D1" s="2"/>
    </row>
    <row r="2">
      <c r="A2" s="0"/>
      <c r="B2" s="0"/>
      <c r="C2" s="0"/>
      <c r="D2" s="0"/>
    </row>
    <row r="3" ht="30" customHeight="1">
      <c r="A3" s="1" t="inlineStr">
        <is>
          <t xml:space="preserve">دسته</t>
        </is>
      </c>
      <c r="B3" s="1" t="inlineStr">
        <is>
          <t xml:space="preserve">تعداد</t>
        </is>
      </c>
      <c r="C3" s="1" t="inlineStr">
        <is>
          <t xml:space="preserve">درصد</t>
        </is>
      </c>
      <c r="D3" s="1" t="inlineStr">
        <is>
          <t xml:space="preserve">تفسیر</t>
        </is>
      </c>
    </row>
    <row r="4">
      <c r="A4" s="11" t="inlineStr">
        <is>
          <t xml:space="preserve">— وضعیت اعلامی در توافق —</t>
        </is>
      </c>
      <c r="B4" s="11"/>
      <c r="C4" s="11"/>
      <c r="D4" s="11"/>
    </row>
    <row r="5">
      <c r="A5" s="0" t="inlineStr">
        <is>
          <t xml:space="preserve">موجود در محصول</t>
        </is>
      </c>
      <c r="B5" s="10">
        <f>COUNTIF('ردیف‌ها'!$G$2:$G$88,"موجود در محصول")</f>
      </c>
      <c r="C5" s="10">
        <f>IFERROR(COUNTIF('ردیف‌ها'!$G$2:$G$88,"موجود در محصول")/87,"")</f>
      </c>
      <c r="D5" s="0" t="inlineStr">
        <is>
          <t xml:space="preserve">ادعای «ساخته شده» — بیشترین فشار UAT روی این‌هاست</t>
        </is>
      </c>
    </row>
    <row r="6">
      <c r="A6" s="0" t="inlineStr">
        <is>
          <t xml:space="preserve">نیازمند تنظیم / Configuration</t>
        </is>
      </c>
      <c r="B6" s="10">
        <f>COUNTIF('ردیف‌ها'!$G$2:$G$88,"نیازمند تنظیم / Configuration")</f>
      </c>
      <c r="C6" s="10">
        <f>IFERROR(COUNTIF('ردیف‌ها'!$G$2:$G$88,"نیازمند تنظیم / Configuration")/87,"")</f>
      </c>
      <c r="D6" s="0" t="inlineStr">
        <is>
          <t xml:space="preserve">بدون کد جدید؛ سریع‌ترین بخش</t>
        </is>
      </c>
    </row>
    <row r="7">
      <c r="A7" s="0" t="inlineStr">
        <is>
          <t xml:space="preserve">نیازمند توسعه / Customization</t>
        </is>
      </c>
      <c r="B7" s="10">
        <f>COUNTIF('ردیف‌ها'!$G$2:$G$88,"نیازمند توسعه / Customization")</f>
      </c>
      <c r="C7" s="10">
        <f>IFERROR(COUNTIF('ردیف‌ها'!$G$2:$G$88,"نیازمند توسعه / Customization")/87,"")</f>
      </c>
      <c r="D7" s="0" t="inlineStr">
        <is>
          <t xml:space="preserve">توسعه واقعی؛ منبع اصلی ریسک زمان‌بندی</t>
        </is>
      </c>
    </row>
    <row r="8">
      <c r="A8" s="0" t="inlineStr">
        <is>
          <t xml:space="preserve">نیازمند بررسی فنی</t>
        </is>
      </c>
      <c r="B8" s="10">
        <f>COUNTIF('ردیف‌ها'!$G$2:$G$88,"نیازمند بررسی فنی")</f>
      </c>
      <c r="C8" s="10">
        <f>IFERROR(COUNTIF('ردیف‌ها'!$G$2:$G$88,"نیازمند بررسی فنی")/87,"")</f>
      </c>
      <c r="D8" s="0" t="inlineStr">
        <is>
          <t xml:space="preserve">باید به آیتم برآوردشده تبدیل شود</t>
        </is>
      </c>
    </row>
    <row r="9">
      <c r="A9" s="0" t="inlineStr">
        <is>
          <t xml:space="preserve">فعلاً خارج از Scope</t>
        </is>
      </c>
      <c r="B9" s="10">
        <f>COUNTIF('ردیف‌ها'!$G$2:$G$88,"فعلاً خارج از Scope")</f>
      </c>
      <c r="C9" s="10">
        <f>IFERROR(COUNTIF('ردیف‌ها'!$G$2:$G$88,"فعلاً خارج از Scope")/87,"")</f>
      </c>
      <c r="D9" s="0" t="inlineStr">
        <is>
          <t xml:space="preserve">هر دو ردیف با کد نمی‌خوانند — AI-02 و PRV-08</t>
        </is>
      </c>
    </row>
    <row r="10">
      <c r="A10" s="0" t="inlineStr">
        <is>
          <t xml:space="preserve">بدون وضعیت (خالی)</t>
        </is>
      </c>
      <c r="B10" s="10">
        <f>COUNTBLANK('ردیف‌ها'!$G$2:$G$88)</f>
      </c>
      <c r="C10" s="10">
        <f>IFERROR(COUNTBLANK('ردیف‌ها'!$G$2:$G$88)/87,"")</f>
      </c>
      <c r="D10" s="0" t="inlineStr">
        <is>
          <t xml:space="preserve">KB-02 و TEC-12 تا TEC-15</t>
        </is>
      </c>
    </row>
    <row r="11">
      <c r="A11" s="0"/>
      <c r="B11" s="0"/>
      <c r="C11" s="0"/>
      <c r="D11" s="0"/>
    </row>
    <row r="12">
      <c r="A12" s="11" t="inlineStr">
        <is>
          <t xml:space="preserve">— وضعیت تأییدشده با کد —</t>
        </is>
      </c>
      <c r="B12" s="11"/>
      <c r="C12" s="11"/>
      <c r="D12" s="11"/>
    </row>
    <row r="13">
      <c r="A13" s="0" t="inlineStr">
        <is>
          <t xml:space="preserve">تأییدشده</t>
        </is>
      </c>
      <c r="B13" s="10">
        <f>COUNTIF('ردیف‌ها'!$H$2:$H$88,"تأییدشده*")</f>
      </c>
      <c r="C13" s="10">
        <f>IFERROR(COUNTIF('ردیف‌ها'!$H$2:$H$88,"تأییدشده*")/87,"")</f>
      </c>
      <c r="D13" s="0" t="inlineStr">
        <is>
          <t xml:space="preserve">در کد اثبات شد — قابل دفاع</t>
        </is>
      </c>
    </row>
    <row r="14">
      <c r="A14" s="0" t="inlineStr">
        <is>
          <t xml:space="preserve">جزئی</t>
        </is>
      </c>
      <c r="B14" s="10">
        <f>COUNTIF('ردیف‌ها'!$H$2:$H$88,"جزئی*")</f>
      </c>
      <c r="C14" s="10">
        <f>IFERROR(COUNTIF('ردیف‌ها'!$H$2:$H$88,"جزئی*")/87,"")</f>
      </c>
      <c r="D14" s="0" t="inlineStr">
        <is>
          <t xml:space="preserve">بخشی پیاده — نیازمند توضیح دقیق در جلسه</t>
        </is>
      </c>
    </row>
    <row r="15">
      <c r="A15" s="0" t="inlineStr">
        <is>
          <t xml:space="preserve">رد شد</t>
        </is>
      </c>
      <c r="B15" s="10">
        <f>COUNTIF('ردیف‌ها'!$H$2:$H$88,"رد شد*")</f>
      </c>
      <c r="C15" s="10">
        <f>IFERROR(COUNTIF('ردیف‌ها'!$H$2:$H$88,"رد شد*")/87,"")</f>
      </c>
      <c r="D15" s="0" t="inlineStr">
        <is>
          <t xml:space="preserve">ادعای توافق نادرست — پیش از جلسه اصلاح شود</t>
        </is>
      </c>
    </row>
    <row r="16">
      <c r="A16" s="0" t="inlineStr">
        <is>
          <t xml:space="preserve">غایب</t>
        </is>
      </c>
      <c r="B16" s="10">
        <f>COUNTIF('ردیف‌ها'!$H$2:$H$88,"غایب*")</f>
      </c>
      <c r="C16" s="10">
        <f>IFERROR(COUNTIF('ردیف‌ها'!$H$2:$H$88,"غایب*")/87,"")</f>
      </c>
      <c r="D16" s="0" t="inlineStr">
        <is>
          <t xml:space="preserve">هیچ کدی نیست — توسعه واقعی</t>
        </is>
      </c>
    </row>
    <row r="17">
      <c r="A17" s="0" t="inlineStr">
        <is>
          <t xml:space="preserve">نامشخص</t>
        </is>
      </c>
      <c r="B17" s="10">
        <f>COUNTIF('ردیف‌ها'!$H$2:$H$88,"نامشخص*")</f>
      </c>
      <c r="C17" s="10">
        <f>IFERROR(COUNTIF('ردیف‌ها'!$H$2:$H$88,"نامشخص*")/87,"")</f>
      </c>
      <c r="D17" s="0" t="inlineStr">
        <is>
          <t xml:space="preserve">در coa-ai فریزشده — بدون داده سرعت تیم</t>
        </is>
      </c>
    </row>
    <row r="18">
      <c r="A18" s="0" t="inlineStr">
        <is>
          <t xml:space="preserve">تنظیم</t>
        </is>
      </c>
      <c r="B18" s="10">
        <f>COUNTIF('ردیف‌ها'!$H$2:$H$88,"تنظیم*")</f>
      </c>
      <c r="C18" s="10">
        <f>IFERROR(COUNTIF('ردیف‌ها'!$H$2:$H$88,"تنظیم*")/87,"")</f>
      </c>
      <c r="D18" s="0" t="inlineStr">
        <is>
          <t xml:space="preserve">Configuration یا زیرساخت</t>
        </is>
      </c>
    </row>
    <row r="19">
      <c r="A19" s="0" t="inlineStr">
        <is>
          <t xml:space="preserve">خارج از کد</t>
        </is>
      </c>
      <c r="B19" s="10">
        <f>COUNTIF('ردیف‌ها'!$H$2:$H$88,"خارج از کد*")</f>
      </c>
      <c r="C19" s="10">
        <f>IFERROR(COUNTIF('ردیف‌ها'!$H$2:$H$88,"خارج از کد*")/87,"")</f>
      </c>
      <c r="D19" s="0" t="inlineStr">
        <is>
          <t xml:space="preserve">فرایند یا وظیفه EX</t>
        </is>
      </c>
    </row>
    <row r="20">
      <c r="A20" s="0" t="inlineStr">
        <is>
          <t xml:space="preserve">خالی</t>
        </is>
      </c>
      <c r="B20" s="10">
        <f>COUNTIF('ردیف‌ها'!$H$2:$H$88,"خالی*")</f>
      </c>
      <c r="C20" s="10">
        <f>IFERROR(COUNTIF('ردیف‌ها'!$H$2:$H$88,"خالی*")/87,"")</f>
      </c>
      <c r="D20" s="0" t="inlineStr">
        <is>
          <t xml:space="preserve">ستون توافق خالی است</t>
        </is>
      </c>
    </row>
    <row r="21">
      <c r="A21" s="0"/>
      <c r="B21" s="0"/>
      <c r="C21" s="0"/>
      <c r="D21" s="0"/>
    </row>
    <row r="22">
      <c r="A22" s="11" t="inlineStr">
        <is>
          <t xml:space="preserve">— وابستگی —</t>
        </is>
      </c>
      <c r="B22" s="11"/>
      <c r="C22" s="11"/>
      <c r="D22" s="11"/>
    </row>
    <row r="23">
      <c r="A23" s="0" t="inlineStr">
        <is>
          <t xml:space="preserve">EX</t>
        </is>
      </c>
      <c r="B23" s="10">
        <f>COUNTIF('ردیف‌ها'!$K$2:$K$88,"EX*")</f>
      </c>
      <c r="C23" s="10">
        <f>IFERROR(COUNTIF('ردیف‌ها'!$K$2:$K$88,"EX*")/87,"")</f>
      </c>
      <c r="D23" s="0" t="inlineStr">
        <is>
          <t xml:space="preserve">ساعت شما شروع نمی‌شود تا EX ورودی را تحویل دهد</t>
        </is>
      </c>
    </row>
    <row r="24">
      <c r="A24" s="0" t="inlineStr">
        <is>
          <t xml:space="preserve">MCINEXT</t>
        </is>
      </c>
      <c r="B24" s="10">
        <f>COUNTIF('ردیف‌ها'!$K$2:$K$88,"MCINEXT*")</f>
      </c>
      <c r="C24" s="10">
        <f>IFERROR(COUNTIF('ردیف‌ها'!$K$2:$K$88,"MCINEXT*")/87,"")</f>
      </c>
      <c r="D24" s="0" t="inlineStr">
        <is>
          <t xml:space="preserve">تعهد مستقیم تیم شما</t>
        </is>
      </c>
    </row>
    <row r="25">
      <c r="A25" s="0" t="inlineStr">
        <is>
          <t xml:space="preserve">مشترک</t>
        </is>
      </c>
      <c r="B25" s="10">
        <f>COUNTIF('ردیف‌ها'!$K$2:$K$88,"مشترک*")</f>
      </c>
      <c r="C25" s="10">
        <f>IFERROR(COUNTIF('ردیف‌ها'!$K$2:$K$88,"مشترک*")/87,"")</f>
      </c>
      <c r="D25" s="0" t="inlineStr">
        <is>
          <t xml:space="preserve">نیازمند تصمیم دوطرفه</t>
        </is>
      </c>
    </row>
    <row r="26">
      <c r="A26" s="0" t="inlineStr">
        <is>
          <t xml:space="preserve">MCI-IT</t>
        </is>
      </c>
      <c r="B26" s="10">
        <f>COUNTIF('ردیف‌ها'!$K$2:$K$88,"MCI-IT*")</f>
      </c>
      <c r="C26" s="10">
        <f>IFERROR(COUNTIF('ردیف‌ها'!$K$2:$K$88,"MCI-IT*")/87,"")</f>
      </c>
      <c r="D26" s="0" t="inlineStr">
        <is>
          <t xml:space="preserve">خارج از کنترل هر دو تیم — مثل دسترسی SAP</t>
        </is>
      </c>
    </row>
    <row r="27">
      <c r="A27" s="0"/>
      <c r="B27" s="0"/>
      <c r="C27" s="0"/>
      <c r="D27" s="0"/>
    </row>
    <row r="28">
      <c r="A28" s="11" t="inlineStr">
        <is>
          <t xml:space="preserve">یادداشت</t>
        </is>
      </c>
      <c r="B28" s="0"/>
      <c r="C28" s="0"/>
      <c r="D28" s="9" t="inlineStr">
        <is>
          <t xml:space="preserve">درصدها با فرمول COUNTIF محاسبه می‌شوند؛ اگر وضعیتی را در شیت «ردیف‌ها» تغییر دهید این جدول خودکار به‌روز می‌شود. ستاره در الگوی جست‌وجو به معنای «شروع‌شده با» است.</t>
        </is>
      </c>
    </row>
  </sheetData>
  <pageMargins left="0.3" right="0.3" top="0.4" bottom="0.4" header="0.2" footer="0.2"/>
</worksheet>
</file>

<file path=xl/worksheets/sheet4.xml><?xml version="1.0" encoding="utf-8"?>
<worksheet xmlns="http://schemas.openxmlformats.org/spreadsheetml/2006/main">
  <sheetViews>
    <sheetView workbookViewId="0" rightToLeft="1"/>
  </sheetViews>
  <sheetFormatPr defaultRowHeight="15"/>
  <cols>
    <col min="1" max="1" width="8" customWidth="1"/>
    <col min="2" max="2" width="26" customWidth="1"/>
    <col min="3" max="3" width="34" customWidth="1"/>
    <col min="4" max="4" width="58" customWidth="1"/>
    <col min="5" max="5" width="30" customWidth="1"/>
  </cols>
  <sheetData>
    <row r="1" ht="26" customHeight="1">
      <c r="A1" s="2" t="inlineStr">
        <is>
          <t xml:space="preserve">یافته‌های بحرانی از خوانش کد</t>
        </is>
      </c>
      <c r="B1" s="2"/>
      <c r="C1" s="2"/>
      <c r="D1" s="2"/>
      <c r="E1" s="2"/>
    </row>
    <row r="2">
      <c r="A2" s="0"/>
      <c r="B2" s="0"/>
      <c r="C2" s="0"/>
      <c r="D2" s="0"/>
      <c r="E2" s="0"/>
    </row>
    <row r="3" ht="34" customHeight="1">
      <c r="A3" s="1" t="inlineStr">
        <is>
          <t xml:space="preserve">#</t>
        </is>
      </c>
      <c r="B3" s="1" t="inlineStr">
        <is>
          <t xml:space="preserve">عنوان</t>
        </is>
      </c>
      <c r="C3" s="1" t="inlineStr">
        <is>
          <t xml:space="preserve">شاهد در کد</t>
        </is>
      </c>
      <c r="D3" s="1" t="inlineStr">
        <is>
          <t xml:space="preserve">معنا برای کسب‌وکار</t>
        </is>
      </c>
      <c r="E3" s="1" t="inlineStr">
        <is>
          <t xml:space="preserve">اقدام</t>
        </is>
      </c>
    </row>
    <row r="4">
      <c r="A4" s="10" t="inlineStr">
        <is>
          <t xml:space="preserve">۱</t>
        </is>
      </c>
      <c r="B4" s="4" t="inlineStr">
        <is>
          <t xml:space="preserve">IDOR روی فایل صوتی خام</t>
        </is>
      </c>
      <c r="C4" s="8" t="inlineStr">
        <is>
          <t xml:space="preserve">coa/apps/files/views.py:19 — @with_permissions({view_calls}) و سپس minio.download(name) بدون بررسی مالکیت</t>
        </is>
      </c>
      <c r="D4" s="0" t="inlineStr">
        <is>
          <t xml:space="preserve">هر کاربر دارای view_calls می‌تواند صوت هر تماسی را دانلود کند. نام فایل از call_id مشتق می‌شود. ردیف PRV-03 «موجود» علامت خورده و نیست. روی داده صوتی کارکنان، این یافته می‌تواند پایلوت را متوقف کند.</t>
        </is>
      </c>
      <c r="E4" s="4" t="inlineStr">
        <is>
          <t xml:space="preserve">⛔ اصلاح پیش از UAT — T+3 روز کاری</t>
        </is>
      </c>
    </row>
    <row r="5">
      <c r="A5" s="10" t="inlineStr">
        <is>
          <t xml:space="preserve">۲</t>
        </is>
      </c>
      <c r="B5" s="4" t="inlineStr">
        <is>
          <t xml:space="preserve">Transcript ذخیره می‌شود ولی «خارج از Scope» اعلام شده</t>
        </is>
      </c>
      <c r="C5" s="8" t="inlineStr">
        <is>
          <t xml:space="preserve">coa/apps/main/models.py:397 (raw_input) · services/call.py:771 · chatbot-iva-agent/src/schema.py (messages[].text)</t>
        </is>
      </c>
      <c r="D5" s="0" t="inlineStr">
        <is>
          <t xml:space="preserve">متن مکالمه ذخیره و روی Kafka منتشر می‌شود و حتی transcript_confidence دارد. ادعای AI-02 و دلیل PRV-08 نادرست است. هم اعتبار فنی را می‌برد و هم یک ریسک حریم خصوصی اعلام‌نشده ایجاد می‌کند.</t>
        </is>
      </c>
      <c r="E5" s="4" t="inlineStr">
        <is>
          <t xml:space="preserve">تصمیم سیاست در ۲ روز: نگهداری و اعلام، یا توقف ذخیره</t>
        </is>
      </c>
    </row>
    <row r="6">
      <c r="A6" s="10" t="inlineStr">
        <is>
          <t xml:space="preserve">۳</t>
        </is>
      </c>
      <c r="B6" s="4" t="inlineStr">
        <is>
          <t xml:space="preserve">Audit Log وجود ندارد</t>
        </is>
      </c>
      <c r="C6" s="8" t="inlineStr">
        <is>
          <t xml:space="preserve">جست‌وجوی audit|LogEntry|access_log|viewed_by|actor_id در ۸ سرویس → صفر نتیجه</t>
        </is>
      </c>
      <c r="D6" s="0" t="inlineStr">
        <is>
          <t xml:space="preserve">ردیف PRV-06 «موجود» علامت خورده است. آنچه هست coa/middlewares.py:26 است که لاگ زیرساختی است نه Audit Trail قابل کوئری. ضمناً همان میدل‌ویر تمام هدرها را لاگ می‌کند؛ یعنی توکن‌های Authorization وارد لاگ می‌شوند.</t>
        </is>
      </c>
      <c r="E6" s="4" t="inlineStr">
        <is>
          <t xml:space="preserve">Downgrade در توافق + برآورد T+10 روز کاری</t>
        </is>
      </c>
    </row>
    <row r="7">
      <c r="A7" s="10" t="inlineStr">
        <is>
          <t xml:space="preserve">۴</t>
        </is>
      </c>
      <c r="B7" s="5" t="inlineStr">
        <is>
          <t xml:space="preserve">موتور تحلیل ۱۴ ماه فریز است</t>
        </is>
      </c>
      <c r="C7" s="8" t="inlineStr">
        <is>
          <t xml:space="preserve">python/coa-ai — آخرین کامیت 2025-07-13، در حالی که coa-api در 2026-09-27 کامیت دارد</t>
        </is>
      </c>
      <c r="D7" s="0" t="inlineStr">
        <is>
          <t xml:space="preserve">تمام ردیف‌های کیفیت بلوک ۳ (AI-04 تا AI-07، AI-12، AI-13) از کدی می‌گذرند که هیچ داده سرعتِ به‌روز ندارد. برای این بلوک ددلاین تهاجمی ندهید.</t>
        </is>
      </c>
      <c r="E7" s="5" t="inlineStr">
        <is>
          <t xml:space="preserve">بازفعال‌سازی یا تأیید پایداری پیش از تعهد</t>
        </is>
      </c>
    </row>
    <row r="8">
      <c r="A8" s="10" t="inlineStr">
        <is>
          <t xml:space="preserve">۵</t>
        </is>
      </c>
      <c r="B8" s="5" t="inlineStr">
        <is>
          <t xml:space="preserve">هیچ سنجش کیفیتی برای AIVA و CCA وجود ندارد</t>
        </is>
      </c>
      <c r="C8" s="8" t="inlineStr">
        <is>
          <t xml:space="preserve">تنها Eval موجود: aqa POST /api/v1/eval/run — هیچ معادلی برای WER، Faithfulness یا دقت Theme نیست</t>
        </is>
      </c>
      <c r="D8" s="0" t="inlineStr">
        <is>
          <t xml:space="preserve">۴۳ ردیف «موجود در محصول» شامل ۱۱ ادعای کیفیتی است. «موجود» یعنی implemented نه measured، ولی EX آن را measured تست می‌کند (معیار AI-06 صریحاً مقایسه با نمونه Human-coded است).</t>
        </is>
      </c>
      <c r="E8" s="5" t="inlineStr">
        <is>
          <t xml:space="preserve">Golden Set حداقلی پیش از UAT</t>
        </is>
      </c>
    </row>
    <row r="9">
      <c r="A9" s="10" t="inlineStr">
        <is>
          <t xml:space="preserve">۶</t>
        </is>
      </c>
      <c r="B9" s="3" t="inlineStr">
        <is>
          <t xml:space="preserve">خبر خوب: Pruner مخرب وجود ندارد</t>
        </is>
      </c>
      <c r="C9" s="8" t="inlineStr">
        <is>
          <t xml:space="preserve">تمام مسیرهای حذف بررسی شد: archive_old_calls.py (آرشیو→حذف) · trends/services/sync.py:388 (بازسازی کامل) · services/call.py:448</t>
        </is>
      </c>
      <c r="D9" s="0" t="inlineStr">
        <is>
          <t xml:space="preserve">آنچه روی وایت‌بورد به‌عنوان «حذف topic و تماس‌هایش» طراحی شده بود پیاده نشده است. همچنین TrendAnnotation عمداً denormalize شده تا یادداشت‌های انسانی از بازسازی جان سالم ببرند.</t>
        </is>
      </c>
      <c r="E9" s="3" t="inlineStr">
        <is>
          <t xml:space="preserve">اقدامی لازم نیست — این را به‌عنوان نقطه قوت ارائه کنید</t>
        </is>
      </c>
    </row>
    <row r="10">
      <c r="A10" s="10" t="inlineStr">
        <is>
          <t xml:space="preserve">۷</t>
        </is>
      </c>
      <c r="B10" s="3" t="inlineStr">
        <is>
          <t xml:space="preserve">خبر خوب: Retention بهتر از ادعاست</t>
        </is>
      </c>
      <c r="C10" s="8" t="inlineStr">
        <is>
          <t xml:space="preserve">archive_old_calls.py — pg_dump → MinIO → حذف → VACUUM، با abort-on-failure و --dry-run</t>
        </is>
      </c>
      <c r="D10" s="0" t="inlineStr">
        <is>
          <t xml:space="preserve">PRV-07 درست است و PRV-08 هم عملاً پوشش داده شده چون call_ai_tags هم آرشیو و حذف می‌شود. شما دارید کمتر از توان واقعی‌تان ادعا می‌کنید.</t>
        </is>
      </c>
      <c r="E10" s="3" t="inlineStr">
        <is>
          <t xml:space="preserve">PRV-08 را از «خارج از Scope» خارج کنید</t>
        </is>
      </c>
    </row>
    <row r="11">
      <c r="A11" s="10" t="inlineStr">
        <is>
          <t xml:space="preserve">۸</t>
        </is>
      </c>
      <c r="B11" s="3" t="inlineStr">
        <is>
          <t xml:space="preserve">خبر خوب: پیامک ساخته شده</t>
        </is>
      </c>
      <c r="C11" s="8" t="inlineStr">
        <is>
          <t xml:space="preserve">aiva/tools/sms.py → POST resan.mci.dev/api/messages/send/to/ · در AGENT_ENABLED_TOOLS پیش‌فرض فعال</t>
        </is>
      </c>
      <c r="D11" s="0" t="inlineStr">
        <is>
          <t xml:space="preserve">KB-06 به‌اشتباه «نیازمند توسعه» علامت خورده است. اما LLM خودش تصمیم ارسال می‌گیرد، پس وابستگی واقعی «سناریوهای EX» یک نیاز Guardrail است نه یک نیاز یکپارچه‌سازی.</t>
        </is>
      </c>
      <c r="E11" s="3" t="inlineStr">
        <is>
          <t xml:space="preserve">ارتقا به «موجود» + Rate limit در T+5 روز کاری</t>
        </is>
      </c>
    </row>
    <row r="12">
      <c r="A12" s="10" t="inlineStr">
        <is>
          <t xml:space="preserve">۹</t>
        </is>
      </c>
      <c r="B12" s="5" t="inlineStr">
        <is>
          <t xml:space="preserve">Whitelist هست ولی جای اشتباه</t>
        </is>
      </c>
      <c r="C12" s="8" t="inlineStr">
        <is>
          <t xml:space="preserve">aiva/memory/config.py:20-21 — PHONE_WHITELIST=[] و BYPASS_WHITELIST=True · aiva_consume_kafka.py:310</t>
        </is>
      </c>
      <c r="D12" s="0" t="inlineStr">
        <is>
          <t xml:space="preserve">این Whitelist فقط «جمع‌آوری memory» را گیت می‌کند، نه «پذیرش تماس». نیاز VIA-02 پذیرش تماس است که باید در لایه SIP پیاده شود. ضمناً پیش‌فرض روی Bypass است.</t>
        </is>
      </c>
      <c r="E12" s="5" t="inlineStr">
        <is>
          <t xml:space="preserve">گیت SIP + پرکردن PHONE_WHITELIST و BYPASS_WHITELIST=false</t>
        </is>
      </c>
    </row>
    <row r="13">
      <c r="A13" s="10" t="inlineStr">
        <is>
          <t xml:space="preserve">۱۰</t>
        </is>
      </c>
      <c r="B13" s="3" t="inlineStr">
        <is>
          <t xml:space="preserve">AQA قوی‌ترین دارایی نمایشی شماست</t>
        </is>
      </c>
      <c r="C13" s="8" t="inlineStr">
        <is>
          <t xml:space="preserve">python/aqa — 9,119 خط · POST /api/v1/chat/message (SSE) · /configs/prompts قابل ویرایش در Runtime · /eval/run</t>
        </is>
      </c>
      <c r="D13" s="0" t="inlineStr">
        <is>
          <t xml:space="preserve">ردیف AN-12 (دستیار تحلیل با زبان طبیعی) که بلندپروازانه‌ترین ردیف توافق است، واقعاً ساخته شده و تنها سرویسی است که Eval Harness دارد.</t>
        </is>
      </c>
      <c r="E13" s="3" t="inlineStr">
        <is>
          <t xml:space="preserve">در جلسه Demo زنده بگیرید</t>
        </is>
      </c>
    </row>
    <row r="14">
      <c r="A14" s="10" t="inlineStr">
        <is>
          <t xml:space="preserve">۱۱</t>
        </is>
      </c>
      <c r="B14" s="5" t="inlineStr">
        <is>
          <t xml:space="preserve">Long-term Memory بین تماس‌ها</t>
        </is>
      </c>
      <c r="C14" s="8" t="inlineStr">
        <is>
          <t xml:space="preserve">aiva/memory/management/commands/aiva_consume_kafka.py · ChatbotUser.memory · aiva/chat/views/session.py</t>
        </is>
      </c>
      <c r="D14" s="0" t="inlineStr">
        <is>
          <t xml:space="preserve">پس از هر تماس یک خلاصه از کاربر ساخته و در تماس بعدی به Context داده می‌شود؛ شماره و Memory در Tracing Span هم ثبت می‌شوند. برای کارکنان یک تصمیم Privacy است.</t>
        </is>
      </c>
      <c r="E14" s="5" t="inlineStr">
        <is>
          <t xml:space="preserve">اعلام در Privacy Notice یا خاموش‌کردن Consumer برای EX</t>
        </is>
      </c>
    </row>
    <row r="15">
      <c r="A15" s="10" t="inlineStr">
        <is>
          <t xml:space="preserve">۱۲</t>
        </is>
      </c>
      <c r="B15" s="4" t="inlineStr">
        <is>
          <t xml:space="preserve">Chat APIها بدون Authentication</t>
        </is>
      </c>
      <c r="C15" s="8" t="inlineStr">
        <is>
          <t xml:space="preserve">permission_classes = () در همه Viewهای چت aiva و adcs</t>
        </is>
      </c>
      <c r="D15" s="0" t="inlineStr">
        <is>
          <t xml:space="preserve">امنیت به Gateway سپرده شده. هرکس Session را با شماره دلخواه بسازد، Memory آن شماره را در Context می‌گیرد.</t>
        </is>
      </c>
      <c r="E15" s="4" t="inlineStr">
        <is>
          <t xml:space="preserve">Gateway تنها مسیر ورود در Pilot</t>
        </is>
      </c>
    </row>
    <row r="16">
      <c r="A16" s="10" t="inlineStr">
        <is>
          <t xml:space="preserve">۱۳</t>
        </is>
      </c>
      <c r="B16" s="5" t="inlineStr">
        <is>
          <t xml:space="preserve">AQA مسیر دوم به هویت</t>
        </is>
      </c>
      <c r="C16" s="8" t="inlineStr">
        <is>
          <t xml:space="preserve">aqa/agents/tools/sql_executor.py — Query آزاد، Read-only فقط با کاربر DB</t>
        </is>
      </c>
      <c r="D16" s="0" t="inlineStr">
        <is>
          <t xml:space="preserve">PRV-02 «هر مسیر دیگر» بازیابی هویت را منع می‌کند؛ AQA می‌تواند ستون شماره را برگرداند.</t>
        </is>
      </c>
      <c r="E16" s="5" t="inlineStr">
        <is>
          <t xml:space="preserve">View بدون ستون هویتی برای کاربر DB مخصوص AQA</t>
        </is>
      </c>
    </row>
  </sheetData>
  <pageMargins left="0.3" right="0.3" top="0.4" bottom="0.4" header="0.2" footer="0.2"/>
</worksheet>
</file>

<file path=xl/worksheets/sheet5.xml><?xml version="1.0" encoding="utf-8"?>
<worksheet xmlns="http://schemas.openxmlformats.org/spreadsheetml/2006/main">
  <sheetViews>
    <sheetView workbookViewId="0" rightToLeft="1"/>
  </sheetViews>
  <sheetFormatPr defaultRowHeight="15"/>
  <cols>
    <col min="1" max="1" width="26" customWidth="1"/>
    <col min="2" max="2" width="10" customWidth="1"/>
    <col min="3" max="3" width="10" customWidth="1"/>
    <col min="4" max="4" width="46" customWidth="1"/>
    <col min="5" max="5" width="30" customWidth="1"/>
  </cols>
  <sheetData>
    <row r="1" ht="26" customHeight="1">
      <c r="A1" s="2" t="inlineStr">
        <is>
          <t xml:space="preserve">سرویس‌های فعال پایتون — کامیت در ۳ ماه گذشته</t>
        </is>
      </c>
      <c r="B1" s="2"/>
      <c r="C1" s="2"/>
      <c r="D1" s="2"/>
      <c r="E1" s="2"/>
    </row>
    <row r="2">
      <c r="A2" s="0"/>
      <c r="B2" s="0"/>
      <c r="C2" s="0"/>
      <c r="D2" s="0"/>
      <c r="E2" s="0"/>
    </row>
    <row r="3" ht="30" customHeight="1">
      <c r="A3" s="1" t="inlineStr">
        <is>
          <t xml:space="preserve">سرویس</t>
        </is>
      </c>
      <c r="B3" s="1" t="inlineStr">
        <is>
          <t xml:space="preserve">خط کد</t>
        </is>
      </c>
      <c r="C3" s="1" t="inlineStr">
        <is>
          <t xml:space="preserve">فایل</t>
        </is>
      </c>
      <c r="D3" s="1" t="inlineStr">
        <is>
          <t xml:space="preserve">نقش</t>
        </is>
      </c>
      <c r="E3" s="1" t="inlineStr">
        <is>
          <t xml:space="preserve">آخرین کامیت</t>
        </is>
      </c>
    </row>
    <row r="4">
      <c r="A4" s="0" t="inlineStr">
        <is>
          <t xml:space="preserve">python/coa-api</t>
        </is>
      </c>
      <c r="B4" s="10">
        <v>31596</v>
      </c>
      <c r="C4" s="10">
        <v>325</v>
      </c>
      <c r="D4" s="0" t="inlineStr">
        <is>
          <t xml:space="preserve">لایه سرویس‌دهی CCA — تحلیل، Trend، تیکت، کارشناس، داشبورد IVA، Sync با ClickHouse، آرشیو</t>
        </is>
      </c>
      <c r="E4" s="10" t="inlineStr">
        <is>
          <t xml:space="preserve">2026-09-27</t>
        </is>
      </c>
    </row>
    <row r="5">
      <c r="A5" s="0" t="inlineStr">
        <is>
          <t xml:space="preserve">python/agentlib</t>
        </is>
      </c>
      <c r="B5" s="10">
        <v>19188</v>
      </c>
      <c r="C5" s="10">
        <v>444</v>
      </c>
      <c r="D5" s="0" t="inlineStr">
        <is>
          <t xml:space="preserve">کتابخانه هسته Agent — LLM، ابزار، ReAct، Monitoring. ۱۴۰ فایل تست</t>
        </is>
      </c>
      <c r="E5" s="10" t="inlineStr">
        <is>
          <t xml:space="preserve">2026-09-27</t>
        </is>
      </c>
    </row>
    <row r="6">
      <c r="A6" s="0" t="inlineStr">
        <is>
          <t xml:space="preserve">python/aiva</t>
        </is>
      </c>
      <c r="B6" s="10">
        <v>11492</v>
      </c>
      <c r="C6" s="10">
        <v>121</v>
      </c>
      <c r="D6" s="0" t="inlineStr">
        <is>
          <t xml:space="preserve">مغز چت IVA — Orchestrator رویدادمحور: Guardrail، Intent، Classification، Clarifying، VoiceBridge، ReAct</t>
        </is>
      </c>
      <c r="E6" s="10" t="inlineStr">
        <is>
          <t xml:space="preserve">2026-09-28</t>
        </is>
      </c>
    </row>
    <row r="7">
      <c r="A7" s="0" t="inlineStr">
        <is>
          <t xml:space="preserve">python/adcs</t>
        </is>
      </c>
      <c r="B7" s="10">
        <v>11411</v>
      </c>
      <c r="C7" s="10">
        <v>230</v>
      </c>
      <c r="D7" s="0" t="inlineStr">
        <is>
          <t xml:space="preserve">نسل قبلی/موازی aiva — Chat API، پروکسی ASR/TTS، داشبورد چت، بازخورد</t>
        </is>
      </c>
      <c r="E7" s="10" t="inlineStr">
        <is>
          <t xml:space="preserve">2026-09-25</t>
        </is>
      </c>
    </row>
    <row r="8">
      <c r="A8" s="0" t="inlineStr">
        <is>
          <t xml:space="preserve">python/aqa</t>
        </is>
      </c>
      <c r="B8" s="10">
        <v>9119</v>
      </c>
      <c r="C8" s="10">
        <v>156</v>
      </c>
      <c r="D8" s="0" t="inlineStr">
        <is>
          <t xml:space="preserve">Agentic Query Analyzer — تبدیل زبان طبیعی به SQL روی داده تحلیلی. دارای Eval</t>
        </is>
      </c>
      <c r="E8" s="10" t="inlineStr">
        <is>
          <t xml:space="preserve">2026-09-27</t>
        </is>
      </c>
    </row>
    <row r="9">
      <c r="A9" s="0" t="inlineStr">
        <is>
          <t xml:space="preserve">python/chatbot-iva-agent</t>
        </is>
      </c>
      <c r="B9" s="10">
        <v>5671</v>
      </c>
      <c r="C9" s="10">
        <v>26</v>
      </c>
      <c r="D9" s="0" t="inlineStr">
        <is>
          <t xml:space="preserve">Agent صوتی Realtime روی LiveKit — SIP، VAD، Turn detection، STT/TTS، ضبط، Kafka</t>
        </is>
      </c>
      <c r="E9" s="10" t="inlineStr">
        <is>
          <t xml:space="preserve">2026-09-28</t>
        </is>
      </c>
    </row>
    <row r="10">
      <c r="A10" s="0" t="inlineStr">
        <is>
          <t xml:space="preserve">python/adcs-knowledgebase</t>
        </is>
      </c>
      <c r="B10" s="10">
        <v>4716</v>
      </c>
      <c r="C10" s="10">
        <v>84</v>
      </c>
      <c r="D10" s="0" t="inlineStr">
        <is>
          <t xml:space="preserve">میکروسرویس دانش — CRUD سؤال/پاسخ، Guardrail، Tag، Summarize، Import/Export</t>
        </is>
      </c>
      <c r="E10" s="10" t="inlineStr">
        <is>
          <t xml:space="preserve">فعال</t>
        </is>
      </c>
    </row>
    <row r="11">
      <c r="A11" s="0" t="inlineStr">
        <is>
          <t xml:space="preserve">python/adcs-auth</t>
        </is>
      </c>
      <c r="B11" s="10">
        <v>2610</v>
      </c>
      <c r="C11" s="10">
        <v>67</v>
      </c>
      <c r="D11" s="0" t="inlineStr">
        <is>
          <t xml:space="preserve">احراز هویت مرکزی — صدور JWT. ⚠️ صفر فایل تست</t>
        </is>
      </c>
      <c r="E11" s="10" t="inlineStr">
        <is>
          <t xml:space="preserve">فعال</t>
        </is>
      </c>
    </row>
    <row r="12">
      <c r="A12" s="0" t="inlineStr">
        <is>
          <t xml:space="preserve">python/fastlib</t>
        </is>
      </c>
      <c r="B12" s="10">
        <v>1740</v>
      </c>
      <c r="C12" s="10">
        <v>40</v>
      </c>
      <c r="D12" s="0" t="inlineStr">
        <is>
          <t xml:space="preserve">زیرساخت مشترک FastAPI — لاگ درخواست، پوشش خطا، healthz</t>
        </is>
      </c>
      <c r="E12" s="10" t="inlineStr">
        <is>
          <t xml:space="preserve">فعال</t>
        </is>
      </c>
    </row>
    <row r="13">
      <c r="A13" s="0" t="inlineStr">
        <is>
          <t xml:space="preserve">python/aiva-knowledgebase</t>
        </is>
      </c>
      <c r="B13" s="10">
        <v>730</v>
      </c>
      <c r="C13" s="10">
        <v>17</v>
      </c>
      <c r="D13" s="0" t="inlineStr">
        <is>
          <t xml:space="preserve">میکروسرویس دانش AIVA — Embedding با کلاینت OpenAI-compatible</t>
        </is>
      </c>
      <c r="E13" s="10" t="inlineStr">
        <is>
          <t xml:space="preserve">فعال</t>
        </is>
      </c>
    </row>
    <row r="14">
      <c r="A14" s="0" t="inlineStr">
        <is>
          <t xml:space="preserve">golang/grogu</t>
        </is>
      </c>
      <c r="B14" s="10" t="inlineStr">
        <is>
          <t xml:space="preserve">—</t>
        </is>
      </c>
      <c r="C14" s="10" t="inlineStr">
        <is>
          <t xml:space="preserve">—</t>
        </is>
      </c>
      <c r="D14" s="0" t="inlineStr">
        <is>
          <t xml:space="preserve">Ingestion اصلی CCA (Go): Kafka، MinIO، ASR با Circuit Breaker، MyMCI، Upsert در Postgres، Dead-letter</t>
        </is>
      </c>
      <c r="E14" s="10" t="inlineStr">
        <is>
          <t xml:space="preserve">2026-09-27</t>
        </is>
      </c>
    </row>
    <row r="15">
      <c r="A15" s="0" t="inlineStr">
        <is>
          <t xml:space="preserve">golang/neurobox-gateway</t>
        </is>
      </c>
      <c r="B15" s="10" t="inlineStr">
        <is>
          <t xml:space="preserve">—</t>
        </is>
      </c>
      <c r="C15" s="10" t="inlineStr">
        <is>
          <t xml:space="preserve">—</t>
        </is>
      </c>
      <c r="D15" s="0" t="inlineStr">
        <is>
          <t xml:space="preserve">Gateway مدل‌های ASR/TTS روی Triton (gRPC)</t>
        </is>
      </c>
      <c r="E15" s="10" t="inlineStr">
        <is>
          <t xml:space="preserve">2026-09-13</t>
        </is>
      </c>
    </row>
    <row r="16">
      <c r="A16" s="0" t="inlineStr">
        <is>
          <t xml:space="preserve">golang/websocall</t>
        </is>
      </c>
      <c r="B16" s="10" t="inlineStr">
        <is>
          <t xml:space="preserve">—</t>
        </is>
      </c>
      <c r="C16" s="10" t="inlineStr">
        <is>
          <t xml:space="preserve">—</t>
        </is>
      </c>
      <c r="D16" s="0" t="inlineStr">
        <is>
          <t xml:space="preserve">Voice روی WebSocket برای مرورگر</t>
        </is>
      </c>
      <c r="E16" s="10" t="inlineStr">
        <is>
          <t xml:space="preserve">2026-09-28</t>
        </is>
      </c>
    </row>
    <row r="17">
      <c r="A17" s="0" t="inlineStr">
        <is>
          <t xml:space="preserve">golang/dobby</t>
        </is>
      </c>
      <c r="B17" s="10" t="inlineStr">
        <is>
          <t xml:space="preserve">—</t>
        </is>
      </c>
      <c r="C17" s="10" t="inlineStr">
        <is>
          <t xml:space="preserve">—</t>
        </is>
      </c>
      <c r="D17" s="0" t="inlineStr">
        <is>
          <t xml:space="preserve">MCP Server برای Toolهای AIVA</t>
        </is>
      </c>
      <c r="E17" s="10" t="inlineStr">
        <is>
          <t xml:space="preserve">2026-09-27</t>
        </is>
      </c>
    </row>
    <row r="18">
      <c r="A18" s="5" t="inlineStr">
        <is>
          <t xml:space="preserve">python/coa-ai</t>
        </is>
      </c>
      <c r="B18" s="10" t="inlineStr">
        <is>
          <t xml:space="preserve">—</t>
        </is>
      </c>
      <c r="C18" s="10" t="inlineStr">
        <is>
          <t xml:space="preserve">—</t>
        </is>
      </c>
      <c r="D18" s="5" t="inlineStr">
        <is>
          <t xml:space="preserve">⚠️ موتور تحلیل (احساسات، خلاصه، موضوع) — خارج از دامنه بررسی، ۱۴ ماه فریز</t>
        </is>
      </c>
      <c r="E18" s="10" t="inlineStr">
        <is>
          <t xml:space="preserve">2025-07-13</t>
        </is>
      </c>
    </row>
    <row r="19">
      <c r="A19" s="0"/>
      <c r="B19" s="0"/>
      <c r="C19" s="0"/>
      <c r="D19" s="0"/>
      <c r="E19" s="0"/>
    </row>
    <row r="20">
      <c r="A20" s="11" t="inlineStr">
        <is>
          <t xml:space="preserve">زیرساخت داده</t>
        </is>
      </c>
      <c r="B20" s="11"/>
      <c r="C20" s="11"/>
      <c r="D20" s="11"/>
      <c r="E20" s="11"/>
    </row>
    <row r="21">
      <c r="A21" s="0" t="inlineStr">
        <is>
          <t xml:space="preserve">PostgreSQL</t>
        </is>
      </c>
      <c r="B21" s="0"/>
      <c r="C21" s="0"/>
      <c r="D21" s="0" t="inlineStr">
        <is>
          <t xml:space="preserve">۱۹ جدول اصلی: voices، calls، call_ai_tags، call_records، trends، subjects، trend_annotations، tickets، experts …</t>
        </is>
      </c>
      <c r="E21" s="0"/>
    </row>
    <row r="22">
      <c r="A22" s="0" t="inlineStr">
        <is>
          <t xml:space="preserve">ClickHouse</t>
        </is>
      </c>
      <c r="B22" s="0"/>
      <c r="C22" s="0"/>
      <c r="D22" s="0" t="inlineStr">
        <is>
          <t xml:space="preserve">منبع نتایج تحلیل؛ چهار Daemon همگام‌سازی: clickhouse_sync، clickhouse_update_sync، failed_calls_sync، sync_canonical_mappings</t>
        </is>
      </c>
      <c r="E22" s="0"/>
    </row>
    <row r="23">
      <c r="A23" s="0" t="inlineStr">
        <is>
          <t xml:space="preserve">Qdrant (gRPC)</t>
        </is>
      </c>
      <c r="B23" s="0"/>
      <c r="C23" s="0"/>
      <c r="D23" s="0" t="inlineStr">
        <is>
          <t xml:space="preserve">کالکشن‌های AIVA: guardrail، aiva-contexts، aiva-instructions، aiva-classification، aiva-jokes — آستانه و top-k قابل تنظیم</t>
        </is>
      </c>
      <c r="E23" s="0"/>
    </row>
    <row r="24">
      <c r="A24" s="0" t="inlineStr">
        <is>
          <t xml:space="preserve">MinIO / S3</t>
        </is>
      </c>
      <c r="B24" s="0"/>
      <c r="C24" s="0"/>
      <c r="D24" s="0" t="inlineStr">
        <is>
          <t xml:space="preserve">باکت chatbot-mci-iva برای ضبط تماس + مقصد آرشیو pg_dump</t>
        </is>
      </c>
      <c r="E24" s="0"/>
    </row>
    <row r="25">
      <c r="A25" s="0" t="inlineStr">
        <is>
          <t xml:space="preserve">Kafka</t>
        </is>
      </c>
      <c r="B25" s="0"/>
      <c r="C25" s="0"/>
      <c r="D25" s="0" t="inlineStr">
        <is>
          <t xml:space="preserve">تولید: chatbot-mci-iva (از Agent صوتی) · مصرف: chatbot-mci-iva-intent (ماژول memory در aiva)</t>
        </is>
      </c>
      <c r="E25" s="0"/>
    </row>
    <row r="26">
      <c r="A26" s="0" t="inlineStr">
        <is>
          <t xml:space="preserve">مدل‌های LLM</t>
        </is>
      </c>
      <c r="B26" s="0"/>
      <c r="C26" s="0"/>
      <c r="D26" s="0" t="inlineStr">
        <is>
          <t xml:space="preserve">google/gemma-4-31B-it (میزبانی داخلی) و openai/gpt-oss-120b — هفت نقش مستقل و هرکدام جداگانه قابل تنظیم</t>
        </is>
      </c>
      <c r="E26" s="0"/>
    </row>
    <row r="27">
      <c r="A27" s="0" t="inlineStr">
        <is>
          <t xml:space="preserve">رصدپذیری</t>
        </is>
      </c>
      <c r="B27" s="0"/>
      <c r="C27" s="0"/>
      <c r="D27" s="0" t="inlineStr">
        <is>
          <t xml:space="preserve">Prometheus، Elastic APM، Phoenix/OpenTelemetry tracing</t>
        </is>
      </c>
      <c r="E27" s="0"/>
    </row>
  </sheetData>
  <pageMargins left="0.3" right="0.3" top="0.4" bottom="0.4" header="0.2" footer="0.2"/>
</worksheet>
</file>